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51435057-AAD6-47B5-9C3F-69065456C7C5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version_control" sheetId="3" r:id="rId1"/>
    <sheet name="main" sheetId="1" r:id="rId2"/>
    <sheet name="research" sheetId="2" r:id="rId3"/>
    <sheet name="vairant_view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" i="1" l="1"/>
  <c r="P10" i="1"/>
  <c r="Q10" i="1"/>
  <c r="M10" i="1"/>
  <c r="G16" i="1"/>
  <c r="H16" i="1"/>
  <c r="I16" i="1"/>
  <c r="K16" i="1"/>
  <c r="L16" i="1"/>
  <c r="M16" i="1"/>
  <c r="N16" i="1"/>
  <c r="P16" i="1"/>
  <c r="Q16" i="1"/>
  <c r="R16" i="1"/>
  <c r="S16" i="1"/>
  <c r="F16" i="1"/>
  <c r="Y13" i="1"/>
  <c r="Y14" i="1"/>
  <c r="Y15" i="1"/>
  <c r="Y16" i="1"/>
  <c r="Y17" i="1"/>
  <c r="Y18" i="1"/>
  <c r="Y8" i="1"/>
  <c r="T17" i="1"/>
  <c r="T15" i="1"/>
  <c r="T14" i="1"/>
  <c r="T13" i="1"/>
  <c r="T8" i="1"/>
  <c r="T16" i="1" s="1"/>
  <c r="J17" i="1"/>
  <c r="J15" i="1"/>
  <c r="J14" i="1"/>
  <c r="J13" i="1"/>
  <c r="J8" i="1"/>
  <c r="J16" i="1" s="1"/>
  <c r="J3" i="1"/>
  <c r="J2" i="1"/>
  <c r="O13" i="1"/>
  <c r="O23" i="1" s="1"/>
  <c r="O14" i="1"/>
  <c r="O24" i="1" s="1"/>
  <c r="O15" i="1"/>
  <c r="O17" i="1"/>
  <c r="O8" i="1"/>
  <c r="O3" i="1"/>
  <c r="O2" i="1"/>
  <c r="T3" i="1"/>
  <c r="T2" i="1"/>
  <c r="K23" i="1"/>
  <c r="K22" i="1"/>
  <c r="K24" i="1"/>
  <c r="G22" i="1"/>
  <c r="H22" i="1"/>
  <c r="I22" i="1"/>
  <c r="G23" i="1"/>
  <c r="H23" i="1"/>
  <c r="I23" i="1"/>
  <c r="G24" i="1"/>
  <c r="H24" i="1"/>
  <c r="I24" i="1"/>
  <c r="F24" i="1"/>
  <c r="F23" i="1"/>
  <c r="F22" i="1"/>
  <c r="Q18" i="1"/>
  <c r="X30" i="1"/>
  <c r="X29" i="1"/>
  <c r="W30" i="1"/>
  <c r="W29" i="1"/>
  <c r="V30" i="1"/>
  <c r="V29" i="1"/>
  <c r="Z30" i="1"/>
  <c r="AB30" i="1"/>
  <c r="AC30" i="1"/>
  <c r="V31" i="1"/>
  <c r="W31" i="1"/>
  <c r="X31" i="1"/>
  <c r="Z31" i="1"/>
  <c r="AB31" i="1"/>
  <c r="AC31" i="1"/>
  <c r="U30" i="1"/>
  <c r="AA30" i="1" s="1"/>
  <c r="U31" i="1"/>
  <c r="AA31" i="1" s="1"/>
  <c r="Z29" i="1"/>
  <c r="Z28" i="1" s="1"/>
  <c r="AB29" i="1"/>
  <c r="AB28" i="1" s="1"/>
  <c r="AC29" i="1"/>
  <c r="AC28" i="1" s="1"/>
  <c r="U29" i="1"/>
  <c r="H4" i="1"/>
  <c r="I4" i="1"/>
  <c r="J4" i="1" s="1"/>
  <c r="K4" i="1"/>
  <c r="L4" i="1"/>
  <c r="M4" i="1"/>
  <c r="N4" i="1"/>
  <c r="O4" i="1" s="1"/>
  <c r="P4" i="1"/>
  <c r="Q4" i="1"/>
  <c r="R4" i="1"/>
  <c r="S4" i="1"/>
  <c r="T4" i="1" s="1"/>
  <c r="G4" i="1"/>
  <c r="S36" i="1"/>
  <c r="R36" i="1"/>
  <c r="Q36" i="1"/>
  <c r="P36" i="1"/>
  <c r="N36" i="1"/>
  <c r="M36" i="1"/>
  <c r="L36" i="1"/>
  <c r="K36" i="1"/>
  <c r="I36" i="1"/>
  <c r="H36" i="1"/>
  <c r="G36" i="1"/>
  <c r="F36" i="1"/>
  <c r="G32" i="1"/>
  <c r="H32" i="1"/>
  <c r="I32" i="1"/>
  <c r="K32" i="1"/>
  <c r="L32" i="1"/>
  <c r="M32" i="1"/>
  <c r="N32" i="1"/>
  <c r="P32" i="1"/>
  <c r="Q32" i="1"/>
  <c r="R32" i="1"/>
  <c r="S32" i="1"/>
  <c r="F32" i="1"/>
  <c r="G28" i="1"/>
  <c r="G40" i="1" s="1"/>
  <c r="H28" i="1"/>
  <c r="H40" i="1" s="1"/>
  <c r="I28" i="1"/>
  <c r="I40" i="1" s="1"/>
  <c r="K28" i="1"/>
  <c r="K40" i="1" s="1"/>
  <c r="L28" i="1"/>
  <c r="L40" i="1" s="1"/>
  <c r="M28" i="1"/>
  <c r="M40" i="1" s="1"/>
  <c r="N28" i="1"/>
  <c r="N40" i="1" s="1"/>
  <c r="P28" i="1"/>
  <c r="P40" i="1" s="1"/>
  <c r="Q28" i="1"/>
  <c r="Q40" i="1" s="1"/>
  <c r="R28" i="1"/>
  <c r="R40" i="1" s="1"/>
  <c r="S28" i="1"/>
  <c r="S40" i="1" s="1"/>
  <c r="F28" i="1"/>
  <c r="F40" i="1" s="1"/>
  <c r="D4" i="2"/>
  <c r="D6" i="2"/>
  <c r="D5" i="2"/>
  <c r="R42" i="1"/>
  <c r="R43" i="1" s="1"/>
  <c r="G25" i="1"/>
  <c r="H25" i="1"/>
  <c r="L23" i="1"/>
  <c r="L22" i="1"/>
  <c r="M22" i="1"/>
  <c r="N22" i="1"/>
  <c r="P22" i="1"/>
  <c r="Q22" i="1"/>
  <c r="R22" i="1"/>
  <c r="S22" i="1"/>
  <c r="M23" i="1"/>
  <c r="N23" i="1"/>
  <c r="P23" i="1"/>
  <c r="Q23" i="1"/>
  <c r="R23" i="1"/>
  <c r="S23" i="1"/>
  <c r="L24" i="1"/>
  <c r="M24" i="1"/>
  <c r="N24" i="1"/>
  <c r="P24" i="1"/>
  <c r="Q24" i="1"/>
  <c r="R24" i="1"/>
  <c r="S24" i="1"/>
  <c r="L25" i="1"/>
  <c r="M25" i="1"/>
  <c r="N25" i="1"/>
  <c r="P25" i="1"/>
  <c r="Q25" i="1"/>
  <c r="R25" i="1"/>
  <c r="S25" i="1"/>
  <c r="F18" i="1"/>
  <c r="G18" i="1"/>
  <c r="H18" i="1"/>
  <c r="I18" i="1"/>
  <c r="J18" i="1" s="1"/>
  <c r="K18" i="1"/>
  <c r="L18" i="1"/>
  <c r="M18" i="1"/>
  <c r="N18" i="1"/>
  <c r="O18" i="1" s="1"/>
  <c r="P18" i="1"/>
  <c r="R18" i="1"/>
  <c r="S18" i="1"/>
  <c r="T18" i="1" s="1"/>
  <c r="D7" i="2"/>
  <c r="O22" i="1" l="1"/>
  <c r="O16" i="1"/>
  <c r="I25" i="1"/>
  <c r="T22" i="1"/>
  <c r="T23" i="1"/>
  <c r="T24" i="1"/>
  <c r="N42" i="1"/>
  <c r="N43" i="1" s="1"/>
  <c r="S42" i="1"/>
  <c r="S43" i="1" s="1"/>
  <c r="K25" i="1"/>
  <c r="F25" i="1"/>
  <c r="AA29" i="1"/>
  <c r="AA28" i="1" s="1"/>
  <c r="U28" i="1"/>
  <c r="V28" i="1"/>
  <c r="W28" i="1"/>
  <c r="X28" i="1"/>
  <c r="AV8" i="1"/>
  <c r="AV13" i="1"/>
  <c r="AV14" i="1"/>
  <c r="AU8" i="1"/>
  <c r="AU13" i="1"/>
  <c r="AU14" i="1"/>
  <c r="AT8" i="1"/>
  <c r="AT13" i="1"/>
  <c r="AT14" i="1"/>
  <c r="AS8" i="1"/>
  <c r="AS13" i="1"/>
  <c r="AS14" i="1"/>
  <c r="AR8" i="1"/>
  <c r="AR13" i="1"/>
  <c r="AR14" i="1"/>
  <c r="AQ8" i="1"/>
  <c r="AQ13" i="1"/>
  <c r="AQ14" i="1"/>
  <c r="AP8" i="1"/>
  <c r="AP13" i="1"/>
  <c r="AP14" i="1"/>
  <c r="AO8" i="1"/>
  <c r="AO13" i="1"/>
  <c r="AO14" i="1"/>
  <c r="AN13" i="1"/>
  <c r="AN8" i="1"/>
  <c r="AN14" i="1"/>
  <c r="AM8" i="1"/>
  <c r="AM13" i="1"/>
  <c r="AM14" i="1"/>
  <c r="AL14" i="1"/>
  <c r="AL13" i="1"/>
  <c r="AL8" i="1"/>
  <c r="O25" i="1" l="1"/>
  <c r="T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Sankalp Bhatia</author>
  </authors>
  <commentList>
    <comment ref="A8" authorId="0" shapeId="0" xr:uid="{D26DD46E-949E-46FD-BBB3-BBEEAE4F86ED}">
      <text>
        <r>
          <rPr>
            <sz val="11"/>
            <color theme="1"/>
            <rFont val="Calibri"/>
            <family val="2"/>
            <scheme val="minor"/>
          </rPr>
          <t>Sankalp Bhatia:
BikeWale, CarWale.
Revenue in this segment is generated from both demand and supply side. Listing fees, ad fees, data services to OEMs.</t>
        </r>
      </text>
    </comment>
    <comment ref="A13" authorId="0" shapeId="0" xr:uid="{D7179381-6085-40C7-95BC-963FF5390606}">
      <text>
        <r>
          <rPr>
            <sz val="11"/>
            <color theme="1"/>
            <rFont val="Calibri"/>
            <family val="2"/>
            <scheme val="minor"/>
          </rPr>
          <t>Sankalp Bhatia:
selling pre-owned, repossessed, or fleet vehicles through physical and digital auctions.
Shriram Automall (physical auction) + CTE (CarTrade Exchange) online B2B platform</t>
        </r>
      </text>
    </comment>
    <comment ref="A14" authorId="0" shapeId="0" xr:uid="{EADCE13F-C5D7-4899-AC99-A0F7A75E8BBE}">
      <text>
        <r>
          <rPr>
            <sz val="11"/>
            <color theme="1"/>
            <rFont val="Calibri"/>
            <family val="2"/>
            <scheme val="minor"/>
          </rPr>
          <t>Sankalp Bhatia:
Includes Olx.in - both auto and non-auto verticals</t>
        </r>
      </text>
    </comment>
    <comment ref="F14" authorId="0" shapeId="0" xr:uid="{A8B54132-94FC-447B-AB54-85E4AF7F075F}">
      <text>
        <r>
          <rPr>
            <sz val="11"/>
            <color theme="1"/>
            <rFont val="Calibri"/>
            <family val="2"/>
            <scheme val="minor"/>
          </rPr>
          <t>Sankalp Bhatia:
Excluding OLX due to acquisition</t>
        </r>
      </text>
    </comment>
    <comment ref="U28" authorId="0" shapeId="0" xr:uid="{58282622-D477-453F-B9B4-E78EBB7249C8}">
      <text>
        <r>
          <rPr>
            <sz val="11"/>
            <color theme="1"/>
            <rFont val="Calibri"/>
            <family val="2"/>
            <scheme val="minor"/>
          </rPr>
          <t>Sankalp Bhatia:
Management mentioned they expect no seasonality in the employee cost. Relatively stable. 26Q4 Earnings Call.
OLX (Classifieds) to have least employee cost variation.</t>
        </r>
      </text>
    </comment>
    <comment ref="A36" authorId="0" shapeId="0" xr:uid="{47684EFE-3A2C-4A39-9ACF-19EF3495B189}">
      <text>
        <r>
          <rPr>
            <sz val="11"/>
            <color theme="1"/>
            <rFont val="Calibri"/>
            <family val="2"/>
            <scheme val="minor"/>
          </rPr>
          <t>Sankalp Bhatia:
Highest Expense classified as "Other Exp". SG&amp;A?</t>
        </r>
      </text>
    </comment>
  </commentList>
</comments>
</file>

<file path=xl/sharedStrings.xml><?xml version="1.0" encoding="utf-8"?>
<sst xmlns="http://schemas.openxmlformats.org/spreadsheetml/2006/main" count="102" uniqueCount="90">
  <si>
    <t>V1.0.0</t>
  </si>
  <si>
    <t>Start Date</t>
  </si>
  <si>
    <t>Income Statement</t>
  </si>
  <si>
    <t>23Q1</t>
  </si>
  <si>
    <t>23Q2</t>
  </si>
  <si>
    <t>23Q3</t>
  </si>
  <si>
    <t>23Q4</t>
  </si>
  <si>
    <t>24Q1</t>
  </si>
  <si>
    <t>24Q2</t>
  </si>
  <si>
    <t>24Q3</t>
  </si>
  <si>
    <t>24Q4</t>
  </si>
  <si>
    <t>FY24</t>
  </si>
  <si>
    <t>25Q1</t>
  </si>
  <si>
    <t>25Q2</t>
  </si>
  <si>
    <t>25Q3</t>
  </si>
  <si>
    <t>25Q4</t>
  </si>
  <si>
    <t>FY25</t>
  </si>
  <si>
    <t>26Q1</t>
  </si>
  <si>
    <t>26Q2</t>
  </si>
  <si>
    <t>26Q3</t>
  </si>
  <si>
    <t>26Q4</t>
  </si>
  <si>
    <t>FY26</t>
  </si>
  <si>
    <t>27Q1E</t>
  </si>
  <si>
    <t>27Q2E</t>
  </si>
  <si>
    <t>27Q3E</t>
  </si>
  <si>
    <t>27Q4E</t>
  </si>
  <si>
    <t>FY27E</t>
  </si>
  <si>
    <t>28Q1E</t>
  </si>
  <si>
    <t>28Q2E</t>
  </si>
  <si>
    <t>28Q3E</t>
  </si>
  <si>
    <t>28Q4E</t>
  </si>
  <si>
    <t>Quarter Ended</t>
  </si>
  <si>
    <t>Earnings Rep Date (PDF linked)</t>
  </si>
  <si>
    <t># of days</t>
  </si>
  <si>
    <t>(in Rs. Lakhs)</t>
  </si>
  <si>
    <t>Segment Revenue</t>
  </si>
  <si>
    <t>Consumer</t>
  </si>
  <si>
    <t>MAUs (Lakhs)</t>
  </si>
  <si>
    <t>ARPU (Rs.)</t>
  </si>
  <si>
    <t># Listings</t>
  </si>
  <si>
    <t>RPL (Revenue per Listing)</t>
  </si>
  <si>
    <t>Remarketing</t>
  </si>
  <si>
    <t>Classifieds</t>
  </si>
  <si>
    <t>OLX</t>
  </si>
  <si>
    <t>(-) Intersegment Eliminiations</t>
  </si>
  <si>
    <t>Revenue from Ops</t>
  </si>
  <si>
    <t>Other Revenue</t>
  </si>
  <si>
    <t>Total Revenue</t>
  </si>
  <si>
    <t>Revenue YY Calculations</t>
  </si>
  <si>
    <t>Segment Rev YY</t>
  </si>
  <si>
    <t>Consumer YY</t>
  </si>
  <si>
    <t>Remarketing YY</t>
  </si>
  <si>
    <t>Classifieds YY</t>
  </si>
  <si>
    <t>Revenue from Ops YY</t>
  </si>
  <si>
    <t>Total Expense</t>
  </si>
  <si>
    <t>Employee Cost</t>
  </si>
  <si>
    <t>Marketing</t>
  </si>
  <si>
    <t>Other exp</t>
  </si>
  <si>
    <t>EBITDA (exl. other income)</t>
  </si>
  <si>
    <t>EBITDA Margin %</t>
  </si>
  <si>
    <t>Price</t>
  </si>
  <si>
    <t>Shares Outstanding</t>
  </si>
  <si>
    <t>MC (Rs Lakhs)</t>
  </si>
  <si>
    <t>Cash (Rs Lakhs)</t>
  </si>
  <si>
    <t>&lt; Cash + Bank Balance</t>
  </si>
  <si>
    <t>Debt (Rs Lakhs)</t>
  </si>
  <si>
    <t>&lt; Lease Liabilitie (Current &amp; non-current)</t>
  </si>
  <si>
    <t>EV (Rs. Lakhs)</t>
  </si>
  <si>
    <t>8.3K Cr</t>
  </si>
  <si>
    <t>26Q4 Earnings Call</t>
  </si>
  <si>
    <t>Company is building a fintech product for used-products</t>
  </si>
  <si>
    <t>GST tax reduction &gt; optimism in vehicle sales</t>
  </si>
  <si>
    <t>OEM breakup - 70%/30%, 30% dealer</t>
  </si>
  <si>
    <t>CarTrade laucnhes AI Transaction Tool - SuperDost</t>
  </si>
  <si>
    <t>SuperDost works on WhatsApp for Dealer and Consumer</t>
  </si>
  <si>
    <t>CEO talks too much about "matchmaking"</t>
  </si>
  <si>
    <t>x6 buyers over sellers at OLX</t>
  </si>
  <si>
    <t>Seasonality in Oct and Dec</t>
  </si>
  <si>
    <t>Q4 Auction Listing - 1.7m &amp; Q4 Auction Volume  - 3lakhs</t>
  </si>
  <si>
    <t>ROE 10% has been in question. Too much excess cash. No M&amp;A in the near future to deploy the cash</t>
  </si>
  <si>
    <t>CarTrade Finance pvt ltd (CTF) yet to start its activities during the year under review.</t>
  </si>
  <si>
    <t>To Dos</t>
  </si>
  <si>
    <t>Build driver tree for each segment</t>
  </si>
  <si>
    <t>Build KPI sheet</t>
  </si>
  <si>
    <t>Create a variant view sheet</t>
  </si>
  <si>
    <t>Build Sensitivity Analysis sheet</t>
  </si>
  <si>
    <t>Build comp sheet</t>
  </si>
  <si>
    <t>KPI</t>
  </si>
  <si>
    <t>Street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</si>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</sst>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 [$₹-4009]\ * #,##0.00_ ;_ [$₹-4009]\ * \-#,##0.00_ ;_ [$₹-4009]\ * &quot;-&quot;??_ ;_ @_ "/>
    <numFmt numFmtId="166" formatCode="#,###,###"/>
  </numFmts>
  <fonts count="9">
    <font>
      <sz val="11"/>
      <color theme="1"/>
      <name val="Calibri"/>
      <family val="2"/>
      <scheme val="minor"/>
    </font>
    <font>
      <sz val="11"/>
      <color theme="1"/>
      <name val="Calibri Light"/>
      <scheme val="major"/>
    </font>
    <font>
      <u/>
      <sz val="11"/>
      <color theme="10"/>
      <name val="Calibri"/>
      <family val="2"/>
      <scheme val="minor"/>
    </font>
    <font>
      <b/>
      <sz val="11"/>
      <color theme="1"/>
      <name val="Calibri Light"/>
      <scheme val="major"/>
    </font>
    <font>
      <b/>
      <u/>
      <sz val="11"/>
      <color theme="1"/>
      <name val="Calibri Light"/>
      <scheme val="major"/>
    </font>
    <font>
      <b/>
      <i/>
      <sz val="11"/>
      <color theme="1"/>
      <name val="Calibri Light"/>
      <scheme val="major"/>
    </font>
    <font>
      <i/>
      <sz val="11"/>
      <color theme="1"/>
      <name val="Calibri Light"/>
      <scheme val="major"/>
    </font>
    <font>
      <sz val="11"/>
      <color rgb="FF0070C0"/>
      <name val="Calibri Light"/>
      <scheme val="major"/>
    </font>
    <font>
      <sz val="11"/>
      <color rgb="FF0261A6"/>
      <name val="Calibri Light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0" fontId="1" fillId="0" borderId="1" xfId="0" applyFont="1" applyBorder="1"/>
    <xf numFmtId="0" fontId="1" fillId="0" borderId="0" xfId="0" applyFont="1" applyAlignment="1">
      <alignment horizontal="left" indent="2"/>
    </xf>
    <xf numFmtId="0" fontId="1" fillId="0" borderId="0" xfId="0" applyFont="1" applyBorder="1"/>
    <xf numFmtId="10" fontId="1" fillId="0" borderId="0" xfId="0" applyNumberFormat="1" applyFont="1"/>
    <xf numFmtId="0" fontId="1" fillId="0" borderId="0" xfId="0" applyFont="1" applyAlignment="1">
      <alignment horizontal="center" vertical="center"/>
    </xf>
    <xf numFmtId="16" fontId="1" fillId="0" borderId="0" xfId="0" applyNumberFormat="1" applyFont="1"/>
    <xf numFmtId="16" fontId="2" fillId="0" borderId="0" xfId="1" applyNumberFormat="1"/>
    <xf numFmtId="0" fontId="4" fillId="0" borderId="0" xfId="0" applyFont="1"/>
    <xf numFmtId="0" fontId="3" fillId="0" borderId="0" xfId="0" applyFont="1" applyBorder="1"/>
    <xf numFmtId="2" fontId="3" fillId="0" borderId="0" xfId="0" applyNumberFormat="1" applyFont="1" applyBorder="1"/>
    <xf numFmtId="2" fontId="3" fillId="0" borderId="0" xfId="0" applyNumberFormat="1" applyFont="1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4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left" indent="4"/>
    </xf>
    <xf numFmtId="0" fontId="1" fillId="0" borderId="0" xfId="0" applyFont="1" applyAlignment="1">
      <alignment horizontal="left" indent="1"/>
    </xf>
    <xf numFmtId="0" fontId="3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/>
    <xf numFmtId="10" fontId="1" fillId="0" borderId="0" xfId="0" applyNumberFormat="1" applyFont="1" applyBorder="1"/>
    <xf numFmtId="4" fontId="1" fillId="0" borderId="0" xfId="0" applyNumberFormat="1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16" fontId="2" fillId="0" borderId="0" xfId="1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9" fontId="7" fillId="0" borderId="0" xfId="0" applyNumberFormat="1" applyFont="1"/>
    <xf numFmtId="0" fontId="1" fillId="0" borderId="0" xfId="0" applyFont="1" applyBorder="1" applyAlignment="1">
      <alignment horizontal="center" vertical="center"/>
    </xf>
    <xf numFmtId="16" fontId="1" fillId="0" borderId="0" xfId="0" applyNumberFormat="1" applyFont="1" applyBorder="1" applyAlignment="1">
      <alignment horizontal="center"/>
    </xf>
    <xf numFmtId="16" fontId="2" fillId="0" borderId="0" xfId="1" applyNumberForma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/>
    <xf numFmtId="0" fontId="1" fillId="0" borderId="2" xfId="0" applyFont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" fontId="1" fillId="0" borderId="2" xfId="0" applyNumberFormat="1" applyFont="1" applyBorder="1"/>
    <xf numFmtId="0" fontId="1" fillId="0" borderId="2" xfId="0" applyFont="1" applyBorder="1"/>
    <xf numFmtId="2" fontId="3" fillId="0" borderId="2" xfId="0" applyNumberFormat="1" applyFont="1" applyBorder="1"/>
    <xf numFmtId="10" fontId="1" fillId="0" borderId="2" xfId="0" applyNumberFormat="1" applyFont="1" applyBorder="1"/>
    <xf numFmtId="4" fontId="1" fillId="0" borderId="2" xfId="0" applyNumberFormat="1" applyFont="1" applyBorder="1"/>
    <xf numFmtId="0" fontId="1" fillId="0" borderId="2" xfId="0" applyFont="1" applyBorder="1" applyAlignment="1">
      <alignment horizontal="center" vertical="center"/>
    </xf>
    <xf numFmtId="16" fontId="2" fillId="0" borderId="2" xfId="1" applyNumberFormat="1" applyBorder="1" applyAlignment="1">
      <alignment horizontal="center"/>
    </xf>
    <xf numFmtId="9" fontId="8" fillId="0" borderId="0" xfId="0" applyNumberFormat="1" applyFont="1"/>
    <xf numFmtId="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261A6"/>
      <color rgb="FF1B5FCC"/>
      <color rgb="FF0B6E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main!$AK$8</c:f>
              <c:strCache>
                <c:ptCount val="1"/>
                <c:pt idx="0">
                  <c:v>Consumer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main!$AL$8:$AV$8</c:f>
              <c:numCache>
                <c:formatCode>0.00%</c:formatCode>
                <c:ptCount val="11"/>
                <c:pt idx="0">
                  <c:v>0.32802775034829207</c:v>
                </c:pt>
                <c:pt idx="1">
                  <c:v>0.32541892727487043</c:v>
                </c:pt>
                <c:pt idx="2">
                  <c:v>0.30590923524247726</c:v>
                </c:pt>
                <c:pt idx="3">
                  <c:v>0.32906900311445214</c:v>
                </c:pt>
                <c:pt idx="4">
                  <c:v>0.32295934245608171</c:v>
                </c:pt>
                <c:pt idx="5">
                  <c:v>0.3523915452399734</c:v>
                </c:pt>
                <c:pt idx="6">
                  <c:v>0.33590976099076686</c:v>
                </c:pt>
                <c:pt idx="7">
                  <c:v>0.33441477313945339</c:v>
                </c:pt>
                <c:pt idx="8">
                  <c:v>0.33590976099076686</c:v>
                </c:pt>
                <c:pt idx="9">
                  <c:v>0.37795525561713128</c:v>
                </c:pt>
                <c:pt idx="10">
                  <c:v>0.3596324016384011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1-49F0-A5B2-0100B121B98C}"/>
            </c:ext>
          </c:extLst>
        </c:ser>
        <c:ser>
          <c:idx val="1"/>
          <c:order val="1"/>
          <c:tx>
            <c:strRef>
              <c:f>main!$AK$13</c:f>
              <c:strCache>
                <c:ptCount val="1"/>
                <c:pt idx="0">
                  <c:v>Remarketing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main!$AL$13:$AV$13</c:f>
              <c:numCache>
                <c:formatCode>0.00%</c:formatCode>
                <c:ptCount val="11"/>
                <c:pt idx="0">
                  <c:v>0.37608662420751326</c:v>
                </c:pt>
                <c:pt idx="1">
                  <c:v>0.30290514631751614</c:v>
                </c:pt>
                <c:pt idx="2">
                  <c:v>0.32853380486012967</c:v>
                </c:pt>
                <c:pt idx="3">
                  <c:v>0.28734603807248266</c:v>
                </c:pt>
                <c:pt idx="4">
                  <c:v>0.29638771215963883</c:v>
                </c:pt>
                <c:pt idx="5">
                  <c:v>0.30360802354280192</c:v>
                </c:pt>
                <c:pt idx="6">
                  <c:v>0.30977830300963832</c:v>
                </c:pt>
                <c:pt idx="7">
                  <c:v>0.29922146409485506</c:v>
                </c:pt>
                <c:pt idx="8">
                  <c:v>0.30977830300963832</c:v>
                </c:pt>
                <c:pt idx="9">
                  <c:v>0.28738536288034305</c:v>
                </c:pt>
                <c:pt idx="10">
                  <c:v>0.32463563151013947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A1-49F0-A5B2-0100B121B98C}"/>
            </c:ext>
          </c:extLst>
        </c:ser>
        <c:ser>
          <c:idx val="2"/>
          <c:order val="2"/>
          <c:tx>
            <c:strRef>
              <c:f>main!$AK$14</c:f>
              <c:strCache>
                <c:ptCount val="1"/>
                <c:pt idx="0">
                  <c:v>OLX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main!$AL$14:$AV$14</c:f>
              <c:numCache>
                <c:formatCode>0.00%</c:formatCode>
                <c:ptCount val="11"/>
                <c:pt idx="0">
                  <c:v>0.16622389077212535</c:v>
                </c:pt>
                <c:pt idx="1">
                  <c:v>0.28379256687657756</c:v>
                </c:pt>
                <c:pt idx="2">
                  <c:v>0.27032992348066476</c:v>
                </c:pt>
                <c:pt idx="3">
                  <c:v>0.30663399187216656</c:v>
                </c:pt>
                <c:pt idx="4">
                  <c:v>0.27652111609672719</c:v>
                </c:pt>
                <c:pt idx="5">
                  <c:v>0.2579705217417444</c:v>
                </c:pt>
                <c:pt idx="6">
                  <c:v>0.25181976477518098</c:v>
                </c:pt>
                <c:pt idx="7">
                  <c:v>0.24253453890362156</c:v>
                </c:pt>
                <c:pt idx="8">
                  <c:v>0.25181976477518098</c:v>
                </c:pt>
                <c:pt idx="9">
                  <c:v>0.2573533275416337</c:v>
                </c:pt>
                <c:pt idx="10">
                  <c:v>0.24970804315072404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A1-49F0-A5B2-0100B121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9336"/>
        <c:axId val="50025480"/>
      </c:lineChart>
      <c:catAx>
        <c:axId val="50019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5480"/>
        <c:crosses val="autoZero"/>
        <c:auto val="1"/>
        <c:lblAlgn val="ctr"/>
        <c:lblOffset val="100"/>
        <c:noMultiLvlLbl val="0"/>
      </c:catAx>
      <c:valAx>
        <c:axId val="5002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28575</xdr:colOff>
      <xdr:row>14</xdr:row>
      <xdr:rowOff>133350</xdr:rowOff>
    </xdr:from>
    <xdr:to>
      <xdr:col>44</xdr:col>
      <xdr:colOff>333375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3BBE3-385B-12D3-FF0D-C3500CA0D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11</xdr:row>
      <xdr:rowOff>38100</xdr:rowOff>
    </xdr:from>
    <xdr:to>
      <xdr:col>4</xdr:col>
      <xdr:colOff>2724150</xdr:colOff>
      <xdr:row>22</xdr:row>
      <xdr:rowOff>400050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FB1317-EB9C-32B5-80E1-F8E101786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2152650"/>
          <a:ext cx="5305425" cy="280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cartradetech.com/pdf/update-and-announcements/Financial-Result--Q1FY2024_August10-2023.pdf" TargetMode="External"/><Relationship Id="rId3" Type="http://schemas.openxmlformats.org/officeDocument/2006/relationships/hyperlink" Target="https://static.cartradetech.com/pdf/update-and-announcements/Financial_Result_07-05-2026.pdf" TargetMode="External"/><Relationship Id="rId7" Type="http://schemas.openxmlformats.org/officeDocument/2006/relationships/hyperlink" Target="https://static.cartradetech.com/pdf/update-and-announcements/Financial-Result--Q2FY2025_October28-2024.pdf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static.cartradetech.com/pdf/update-and-announcements/Financial_Result_28-01-2026.pdf" TargetMode="External"/><Relationship Id="rId1" Type="http://schemas.openxmlformats.org/officeDocument/2006/relationships/hyperlink" Target="https://static.cartradetech.com/pdf/update-and-announcements/Financial-Result--Q3FY2025_January29-2025.pdf" TargetMode="External"/><Relationship Id="rId6" Type="http://schemas.openxmlformats.org/officeDocument/2006/relationships/hyperlink" Target="https://static.cartradetech.com/pdf/update-and-announcements/Financial_Result_07-05-2025.pdf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static.cartradetech.com/pdf/update-and-announcements/Financial_Result_28_July_2025.pdf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static.cartradetech.com/pdf/update-and-announcements/Financial_Result_28_oct_2025.pdf" TargetMode="External"/><Relationship Id="rId9" Type="http://schemas.openxmlformats.org/officeDocument/2006/relationships/hyperlink" Target="https://static.cartradetech.com/pdf/update-and-announcements/Financial_Result_07-05-2026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nsearchives.nseindia.com/corporate/CARTRADE_04032026111510_Press_Releas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807C-AACE-4B53-9033-F4EFF265AA54}">
  <dimension ref="A2:C6"/>
  <sheetViews>
    <sheetView workbookViewId="0">
      <selection activeCell="D26" sqref="D26"/>
    </sheetView>
  </sheetViews>
  <sheetFormatPr defaultRowHeight="15"/>
  <cols>
    <col min="1" max="1" width="9.7109375" bestFit="1" customWidth="1"/>
    <col min="2" max="2" width="11.85546875" bestFit="1" customWidth="1"/>
  </cols>
  <sheetData>
    <row r="2" spans="1:3">
      <c r="A2" s="1" t="s">
        <v>0</v>
      </c>
      <c r="B2" s="1"/>
      <c r="C2" s="1"/>
    </row>
    <row r="3" spans="1:3">
      <c r="A3" s="1" t="s">
        <v>1</v>
      </c>
      <c r="B3" s="26">
        <v>46173</v>
      </c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5"/>
  <sheetViews>
    <sheetView workbookViewId="0">
      <selection activeCell="X31" sqref="X31"/>
    </sheetView>
  </sheetViews>
  <sheetFormatPr defaultRowHeight="15" outlineLevelRow="1"/>
  <cols>
    <col min="1" max="1" width="30.140625" style="1" bestFit="1" customWidth="1"/>
    <col min="2" max="4" width="6" style="1" bestFit="1" customWidth="1"/>
    <col min="5" max="5" width="9.140625" style="1"/>
    <col min="6" max="7" width="10.5703125" style="1" bestFit="1" customWidth="1"/>
    <col min="8" max="8" width="11.7109375" style="1" bestFit="1" customWidth="1"/>
    <col min="9" max="9" width="10.5703125" style="1" bestFit="1" customWidth="1"/>
    <col min="10" max="10" width="10.5703125" style="1" customWidth="1"/>
    <col min="11" max="11" width="10.5703125" style="1" bestFit="1" customWidth="1"/>
    <col min="12" max="12" width="11.7109375" style="1" bestFit="1" customWidth="1"/>
    <col min="13" max="13" width="10.28515625" style="1" bestFit="1" customWidth="1"/>
    <col min="14" max="16" width="9.140625" style="1"/>
    <col min="17" max="18" width="10.28515625" style="1" bestFit="1" customWidth="1"/>
    <col min="19" max="19" width="12.28515625" style="1" bestFit="1" customWidth="1"/>
    <col min="20" max="20" width="12.28515625" style="1" customWidth="1"/>
    <col min="21" max="21" width="9.140625" style="1"/>
    <col min="22" max="22" width="36.5703125" style="1" bestFit="1" customWidth="1"/>
    <col min="23" max="23" width="9.140625" style="1"/>
    <col min="24" max="24" width="12.85546875" style="1" bestFit="1" customWidth="1"/>
    <col min="25" max="25" width="12.85546875" style="1" customWidth="1"/>
    <col min="26" max="16384" width="9.140625" style="1"/>
  </cols>
  <sheetData>
    <row r="1" spans="1:48">
      <c r="A1" s="11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46" t="s">
        <v>11</v>
      </c>
      <c r="K1" s="8" t="s">
        <v>12</v>
      </c>
      <c r="L1" s="8" t="s">
        <v>13</v>
      </c>
      <c r="M1" s="8" t="s">
        <v>14</v>
      </c>
      <c r="N1" s="28" t="s">
        <v>15</v>
      </c>
      <c r="O1" s="39" t="s">
        <v>16</v>
      </c>
      <c r="P1" s="28" t="s">
        <v>17</v>
      </c>
      <c r="Q1" s="28" t="s">
        <v>18</v>
      </c>
      <c r="R1" s="8" t="s">
        <v>19</v>
      </c>
      <c r="S1" s="34" t="s">
        <v>20</v>
      </c>
      <c r="T1" s="46" t="s">
        <v>21</v>
      </c>
      <c r="U1" s="32" t="s">
        <v>22</v>
      </c>
      <c r="V1" s="32" t="s">
        <v>23</v>
      </c>
      <c r="W1" s="32" t="s">
        <v>24</v>
      </c>
      <c r="X1" s="32" t="s">
        <v>25</v>
      </c>
      <c r="Y1" s="32" t="s">
        <v>26</v>
      </c>
      <c r="Z1" s="32" t="s">
        <v>27</v>
      </c>
      <c r="AA1" s="32" t="s">
        <v>28</v>
      </c>
      <c r="AB1" s="32" t="s">
        <v>29</v>
      </c>
      <c r="AC1" s="32" t="s">
        <v>30</v>
      </c>
    </row>
    <row r="2" spans="1:48">
      <c r="A2" s="1" t="s">
        <v>31</v>
      </c>
      <c r="F2" s="29">
        <v>45107</v>
      </c>
      <c r="G2" s="29">
        <v>45199</v>
      </c>
      <c r="H2" s="29">
        <v>45291</v>
      </c>
      <c r="I2" s="29">
        <v>45382</v>
      </c>
      <c r="J2" s="40">
        <f>I2</f>
        <v>45382</v>
      </c>
      <c r="K2" s="29">
        <v>45473</v>
      </c>
      <c r="L2" s="29">
        <v>45565</v>
      </c>
      <c r="M2" s="29">
        <v>45657</v>
      </c>
      <c r="N2" s="29">
        <v>45747</v>
      </c>
      <c r="O2" s="40">
        <f>N2</f>
        <v>45747</v>
      </c>
      <c r="P2" s="29">
        <v>45838</v>
      </c>
      <c r="Q2" s="29">
        <v>45930</v>
      </c>
      <c r="R2" s="29">
        <v>46022</v>
      </c>
      <c r="S2" s="35">
        <v>46112</v>
      </c>
      <c r="T2" s="40">
        <f>S2</f>
        <v>46112</v>
      </c>
      <c r="U2" s="28"/>
      <c r="V2" s="28"/>
      <c r="W2" s="28"/>
      <c r="X2" s="28"/>
      <c r="Y2" s="28"/>
      <c r="Z2" s="28"/>
      <c r="AA2" s="28"/>
      <c r="AB2" s="28"/>
      <c r="AC2" s="28"/>
    </row>
    <row r="3" spans="1:48">
      <c r="A3" s="1" t="s">
        <v>32</v>
      </c>
      <c r="F3" s="30">
        <v>46244</v>
      </c>
      <c r="G3" s="30"/>
      <c r="H3" s="30"/>
      <c r="I3" s="30"/>
      <c r="J3" s="40">
        <f t="shared" ref="J3:J4" si="0">I3</f>
        <v>0</v>
      </c>
      <c r="K3" s="30"/>
      <c r="L3" s="30">
        <v>45593</v>
      </c>
      <c r="M3" s="30">
        <v>45686</v>
      </c>
      <c r="N3" s="30">
        <v>45784</v>
      </c>
      <c r="O3" s="40">
        <f t="shared" ref="O3:O4" si="1">N3</f>
        <v>45784</v>
      </c>
      <c r="P3" s="30">
        <v>45866</v>
      </c>
      <c r="Q3" s="30">
        <v>45958</v>
      </c>
      <c r="R3" s="30">
        <v>46050</v>
      </c>
      <c r="S3" s="36">
        <v>46149</v>
      </c>
      <c r="T3" s="47">
        <f>S3</f>
        <v>46149</v>
      </c>
      <c r="U3" s="28"/>
      <c r="V3" s="28"/>
      <c r="W3" s="28"/>
      <c r="X3" s="28"/>
      <c r="Y3" s="28"/>
      <c r="Z3" s="28"/>
      <c r="AA3" s="28"/>
      <c r="AB3" s="28"/>
      <c r="AC3" s="28"/>
    </row>
    <row r="4" spans="1:48">
      <c r="A4" s="1" t="s">
        <v>33</v>
      </c>
      <c r="F4" s="29"/>
      <c r="G4" s="31">
        <f>+G2-F2+1</f>
        <v>93</v>
      </c>
      <c r="H4" s="31">
        <f>+H2-G2+1</f>
        <v>93</v>
      </c>
      <c r="I4" s="31">
        <f>+I2-H2+1</f>
        <v>92</v>
      </c>
      <c r="J4" s="40">
        <f t="shared" si="0"/>
        <v>92</v>
      </c>
      <c r="K4" s="31">
        <f>+K2-I2+1</f>
        <v>92</v>
      </c>
      <c r="L4" s="31">
        <f>+L2-K2+1</f>
        <v>93</v>
      </c>
      <c r="M4" s="31">
        <f>+M2-L2+1</f>
        <v>93</v>
      </c>
      <c r="N4" s="31">
        <f>+N2-M2+1</f>
        <v>91</v>
      </c>
      <c r="O4" s="40">
        <f t="shared" si="1"/>
        <v>91</v>
      </c>
      <c r="P4" s="31">
        <f>+P2-N2+1</f>
        <v>92</v>
      </c>
      <c r="Q4" s="31">
        <f>+Q2-P2+1</f>
        <v>93</v>
      </c>
      <c r="R4" s="31">
        <f>+R2-Q2+1</f>
        <v>93</v>
      </c>
      <c r="S4" s="37">
        <f>+S2-R2+1</f>
        <v>91</v>
      </c>
      <c r="T4" s="40">
        <f t="shared" ref="T4" si="2">S4</f>
        <v>91</v>
      </c>
    </row>
    <row r="5" spans="1:48">
      <c r="F5" s="9"/>
      <c r="G5" s="27"/>
      <c r="H5" s="27"/>
      <c r="I5" s="27"/>
      <c r="J5" s="41"/>
      <c r="K5" s="27"/>
      <c r="L5" s="27"/>
      <c r="M5" s="27"/>
      <c r="N5" s="27"/>
      <c r="O5" s="41"/>
      <c r="P5" s="27"/>
      <c r="Q5" s="27"/>
      <c r="R5" s="27"/>
      <c r="S5" s="38"/>
      <c r="T5" s="41"/>
    </row>
    <row r="6" spans="1:48">
      <c r="A6" s="1" t="s">
        <v>34</v>
      </c>
      <c r="J6" s="42"/>
      <c r="L6" s="10"/>
      <c r="O6" s="42"/>
      <c r="S6" s="6"/>
      <c r="T6" s="42"/>
    </row>
    <row r="7" spans="1:48">
      <c r="A7" s="21" t="s">
        <v>35</v>
      </c>
      <c r="B7" s="21"/>
      <c r="C7" s="21"/>
      <c r="D7" s="21"/>
      <c r="J7" s="42"/>
      <c r="O7" s="42"/>
      <c r="S7" s="6"/>
      <c r="T7" s="42"/>
    </row>
    <row r="8" spans="1:48" outlineLevel="1">
      <c r="A8" s="5" t="s">
        <v>36</v>
      </c>
      <c r="B8" s="5"/>
      <c r="C8" s="5"/>
      <c r="D8" s="5"/>
      <c r="F8" s="1">
        <v>4284.91</v>
      </c>
      <c r="G8" s="1">
        <v>4527.79</v>
      </c>
      <c r="H8" s="1">
        <v>4941.75</v>
      </c>
      <c r="I8" s="1">
        <v>4913.3</v>
      </c>
      <c r="J8" s="42">
        <f>I8+H8+G8+F8</f>
        <v>18667.75</v>
      </c>
      <c r="K8" s="1">
        <v>5046.26</v>
      </c>
      <c r="L8" s="1">
        <v>5562.29</v>
      </c>
      <c r="M8" s="1">
        <v>6799.12</v>
      </c>
      <c r="N8" s="1">
        <v>6364.19</v>
      </c>
      <c r="O8" s="42">
        <f>N8+M8+L8+K8</f>
        <v>23771.86</v>
      </c>
      <c r="P8" s="1">
        <v>6638.16</v>
      </c>
      <c r="Q8" s="1">
        <v>6364.19</v>
      </c>
      <c r="R8" s="1">
        <v>8631.4699999999993</v>
      </c>
      <c r="S8" s="6">
        <v>7938.95</v>
      </c>
      <c r="T8" s="42">
        <f>+S8+R8+Q8+P8</f>
        <v>29572.769999999997</v>
      </c>
      <c r="Y8" s="1">
        <f>X8+W8+V8+U8</f>
        <v>0</v>
      </c>
      <c r="AK8" s="1" t="s">
        <v>36</v>
      </c>
      <c r="AL8" s="7">
        <f>G8/G$18</f>
        <v>0.32802775034829207</v>
      </c>
      <c r="AM8" s="7">
        <f>H8/H$18</f>
        <v>0.32541892727487043</v>
      </c>
      <c r="AN8" s="7">
        <f>I8/I$18</f>
        <v>0.30590923524247726</v>
      </c>
      <c r="AO8" s="7">
        <f>K8/K$18</f>
        <v>0.32906900311445214</v>
      </c>
      <c r="AP8" s="7">
        <f>L8/L$18</f>
        <v>0.32295934245608171</v>
      </c>
      <c r="AQ8" s="7">
        <f>M8/M$18</f>
        <v>0.3523915452399734</v>
      </c>
      <c r="AR8" s="7">
        <f>N8/N$18</f>
        <v>0.33590976099076686</v>
      </c>
      <c r="AS8" s="7">
        <f>P8/P$18</f>
        <v>0.33441477313945339</v>
      </c>
      <c r="AT8" s="7">
        <f>Q8/Q$18</f>
        <v>0.33590976099076686</v>
      </c>
      <c r="AU8" s="7">
        <f>R8/R$18</f>
        <v>0.37795525561713128</v>
      </c>
      <c r="AV8" s="7">
        <f>S8/S$18</f>
        <v>0.3596324016384011</v>
      </c>
    </row>
    <row r="9" spans="1:48" outlineLevel="1">
      <c r="A9" s="19" t="s">
        <v>37</v>
      </c>
      <c r="B9" s="5"/>
      <c r="C9" s="5"/>
      <c r="D9" s="5"/>
      <c r="J9" s="42"/>
      <c r="M9" s="1">
        <v>490</v>
      </c>
      <c r="N9" s="1">
        <v>440</v>
      </c>
      <c r="O9" s="42"/>
      <c r="P9" s="1">
        <v>440</v>
      </c>
      <c r="Q9" s="1">
        <v>524</v>
      </c>
      <c r="S9" s="6"/>
      <c r="T9" s="42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 spans="1:48" outlineLevel="1">
      <c r="A10" s="19" t="s">
        <v>38</v>
      </c>
      <c r="B10" s="5"/>
      <c r="C10" s="5"/>
      <c r="D10" s="5"/>
      <c r="J10" s="42"/>
      <c r="M10" s="49">
        <f>M8/M9</f>
        <v>13.875755102040817</v>
      </c>
      <c r="N10" s="49">
        <f t="shared" ref="N10:Q10" si="3">N8/N9</f>
        <v>14.464068181818181</v>
      </c>
      <c r="O10" s="49"/>
      <c r="P10" s="49">
        <f t="shared" si="3"/>
        <v>15.086727272727272</v>
      </c>
      <c r="Q10" s="49">
        <f t="shared" si="3"/>
        <v>12.145400763358777</v>
      </c>
      <c r="S10" s="6"/>
      <c r="T10" s="42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 spans="1:48" outlineLevel="1">
      <c r="A11" s="19" t="s">
        <v>39</v>
      </c>
      <c r="B11" s="5"/>
      <c r="C11" s="5"/>
      <c r="D11" s="5"/>
      <c r="J11" s="42"/>
      <c r="M11" s="49"/>
      <c r="N11" s="49"/>
      <c r="O11" s="49"/>
      <c r="P11" s="49"/>
      <c r="Q11" s="49"/>
      <c r="S11" s="6"/>
      <c r="T11" s="42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r="12" spans="1:48" outlineLevel="1">
      <c r="A12" s="19" t="s">
        <v>40</v>
      </c>
      <c r="B12" s="5"/>
      <c r="C12" s="5"/>
      <c r="D12" s="5"/>
      <c r="J12" s="42"/>
      <c r="M12" s="49"/>
      <c r="N12" s="49"/>
      <c r="O12" s="49"/>
      <c r="P12" s="49"/>
      <c r="Q12" s="49"/>
      <c r="S12" s="6"/>
      <c r="T12" s="42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r="13" spans="1:48" outlineLevel="1">
      <c r="A13" s="5" t="s">
        <v>41</v>
      </c>
      <c r="B13" s="5"/>
      <c r="C13" s="5"/>
      <c r="D13" s="5"/>
      <c r="F13" s="1">
        <v>4332.34</v>
      </c>
      <c r="G13" s="1">
        <v>5191.1499999999996</v>
      </c>
      <c r="H13" s="1">
        <v>4599.8599999999997</v>
      </c>
      <c r="I13" s="1">
        <v>5276.68</v>
      </c>
      <c r="J13" s="42">
        <f>I13+H13+G13+F13</f>
        <v>19400.03</v>
      </c>
      <c r="K13" s="1">
        <v>4406.4399999999996</v>
      </c>
      <c r="L13" s="1">
        <v>5104.6499999999996</v>
      </c>
      <c r="M13" s="1">
        <v>5857.88</v>
      </c>
      <c r="N13" s="1">
        <v>5869.1</v>
      </c>
      <c r="O13" s="42">
        <f t="shared" ref="O13:O18" si="4">N13+M13+L13+K13</f>
        <v>21238.069999999996</v>
      </c>
      <c r="P13" s="1">
        <v>5939.57</v>
      </c>
      <c r="Q13" s="1">
        <v>5869.1</v>
      </c>
      <c r="R13" s="1">
        <v>6563.1</v>
      </c>
      <c r="S13" s="6">
        <v>7166.39</v>
      </c>
      <c r="T13" s="42">
        <f>+S13+R13+Q13+P13</f>
        <v>25538.160000000003</v>
      </c>
      <c r="Y13" s="1">
        <f t="shared" ref="Y13:Y18" si="5">X13+W13+V13+U13</f>
        <v>0</v>
      </c>
      <c r="AK13" s="1" t="s">
        <v>41</v>
      </c>
      <c r="AL13" s="7">
        <f>G13/G$18</f>
        <v>0.37608662420751326</v>
      </c>
      <c r="AM13" s="7">
        <f>H13/H$18</f>
        <v>0.30290514631751614</v>
      </c>
      <c r="AN13" s="7">
        <f>I13/I$18</f>
        <v>0.32853380486012967</v>
      </c>
      <c r="AO13" s="7">
        <f>K13/K$18</f>
        <v>0.28734603807248266</v>
      </c>
      <c r="AP13" s="7">
        <f>L13/L$18</f>
        <v>0.29638771215963883</v>
      </c>
      <c r="AQ13" s="7">
        <f>M13/M$18</f>
        <v>0.30360802354280192</v>
      </c>
      <c r="AR13" s="7">
        <f>N13/N$18</f>
        <v>0.30977830300963832</v>
      </c>
      <c r="AS13" s="7">
        <f>P13/P$18</f>
        <v>0.29922146409485506</v>
      </c>
      <c r="AT13" s="7">
        <f>Q13/Q$18</f>
        <v>0.30977830300963832</v>
      </c>
      <c r="AU13" s="7">
        <f>R13/R$18</f>
        <v>0.28738536288034305</v>
      </c>
      <c r="AV13" s="7">
        <f>S13/S$18</f>
        <v>0.32463563151013947</v>
      </c>
    </row>
    <row r="14" spans="1:48" outlineLevel="1">
      <c r="A14" s="5" t="s">
        <v>42</v>
      </c>
      <c r="B14" s="5"/>
      <c r="C14" s="5"/>
      <c r="D14" s="5"/>
      <c r="G14" s="1">
        <v>2294.4</v>
      </c>
      <c r="H14" s="1">
        <v>4309.62</v>
      </c>
      <c r="I14" s="1">
        <v>4341.8500000000004</v>
      </c>
      <c r="J14" s="42">
        <f>I14+H14+G14+F14</f>
        <v>10945.87</v>
      </c>
      <c r="K14" s="1">
        <v>4702.22</v>
      </c>
      <c r="L14" s="1">
        <v>4762.49</v>
      </c>
      <c r="M14" s="1">
        <v>4977.34</v>
      </c>
      <c r="N14" s="1">
        <v>4771.01</v>
      </c>
      <c r="O14" s="42">
        <f t="shared" si="4"/>
        <v>19213.060000000001</v>
      </c>
      <c r="P14" s="1">
        <v>4814.33</v>
      </c>
      <c r="Q14" s="1">
        <v>4771.01</v>
      </c>
      <c r="R14" s="1">
        <v>5877.25</v>
      </c>
      <c r="S14" s="6">
        <v>5512.35</v>
      </c>
      <c r="T14" s="42">
        <f>+S14+R14+Q14+P14</f>
        <v>20974.940000000002</v>
      </c>
      <c r="Y14" s="1">
        <f t="shared" si="5"/>
        <v>0</v>
      </c>
      <c r="AK14" s="1" t="s">
        <v>43</v>
      </c>
      <c r="AL14" s="7">
        <f>G14/G$18</f>
        <v>0.16622389077212535</v>
      </c>
      <c r="AM14" s="7">
        <f>H14/H$18</f>
        <v>0.28379256687657756</v>
      </c>
      <c r="AN14" s="7">
        <f>I14/I$18</f>
        <v>0.27032992348066476</v>
      </c>
      <c r="AO14" s="7">
        <f>K14/K$18</f>
        <v>0.30663399187216656</v>
      </c>
      <c r="AP14" s="7">
        <f>L14/L$18</f>
        <v>0.27652111609672719</v>
      </c>
      <c r="AQ14" s="7">
        <f>M14/M$18</f>
        <v>0.2579705217417444</v>
      </c>
      <c r="AR14" s="7">
        <f>N14/N$18</f>
        <v>0.25181976477518098</v>
      </c>
      <c r="AS14" s="7">
        <f>P14/P$18</f>
        <v>0.24253453890362156</v>
      </c>
      <c r="AT14" s="7">
        <f>Q14/Q$18</f>
        <v>0.25181976477518098</v>
      </c>
      <c r="AU14" s="7">
        <f>R14/R$18</f>
        <v>0.2573533275416337</v>
      </c>
      <c r="AV14" s="7">
        <f>S14/S$18</f>
        <v>0.24970804315072404</v>
      </c>
    </row>
    <row r="15" spans="1:48" outlineLevel="1">
      <c r="A15" s="5" t="s">
        <v>44</v>
      </c>
      <c r="B15" s="5"/>
      <c r="C15" s="5"/>
      <c r="D15" s="5"/>
      <c r="F15" s="1">
        <v>-10.28</v>
      </c>
      <c r="G15" s="1">
        <v>-12.21</v>
      </c>
      <c r="H15" s="1">
        <v>7.58</v>
      </c>
      <c r="I15" s="1">
        <v>-4.12</v>
      </c>
      <c r="J15" s="42">
        <f>I15+H15+G15+F15</f>
        <v>-19.03</v>
      </c>
      <c r="K15" s="1">
        <v>-3.05</v>
      </c>
      <c r="L15" s="1">
        <v>-8.49</v>
      </c>
      <c r="M15" s="1">
        <v>-12.8</v>
      </c>
      <c r="N15" s="1">
        <v>-52.92</v>
      </c>
      <c r="O15" s="42">
        <f t="shared" si="4"/>
        <v>-77.259999999999991</v>
      </c>
      <c r="P15" s="1">
        <v>-88.09</v>
      </c>
      <c r="Q15" s="1">
        <v>-52.92</v>
      </c>
      <c r="R15" s="1">
        <v>-104.64</v>
      </c>
      <c r="S15" s="6">
        <v>-303.38</v>
      </c>
      <c r="T15" s="42">
        <f>+S15+R15+Q15+P15</f>
        <v>-549.03</v>
      </c>
      <c r="Y15" s="1">
        <f t="shared" si="5"/>
        <v>0</v>
      </c>
    </row>
    <row r="16" spans="1:48">
      <c r="A16" s="22" t="s">
        <v>45</v>
      </c>
      <c r="B16" s="22"/>
      <c r="C16" s="22"/>
      <c r="D16" s="22"/>
      <c r="E16" s="23"/>
      <c r="F16" s="23">
        <f>+F8+F13+F14+F15</f>
        <v>8606.9699999999993</v>
      </c>
      <c r="G16" s="23">
        <f t="shared" ref="G16:T16" si="6">+G8+G13+G14+G15</f>
        <v>12001.13</v>
      </c>
      <c r="H16" s="23">
        <f t="shared" si="6"/>
        <v>13858.81</v>
      </c>
      <c r="I16" s="23">
        <f t="shared" si="6"/>
        <v>14527.71</v>
      </c>
      <c r="J16" s="23">
        <f t="shared" si="6"/>
        <v>48994.62</v>
      </c>
      <c r="K16" s="23">
        <f t="shared" si="6"/>
        <v>14151.870000000003</v>
      </c>
      <c r="L16" s="23">
        <f t="shared" si="6"/>
        <v>15420.939999999999</v>
      </c>
      <c r="M16" s="23">
        <f t="shared" si="6"/>
        <v>17621.54</v>
      </c>
      <c r="N16" s="23">
        <f t="shared" si="6"/>
        <v>16951.380000000005</v>
      </c>
      <c r="O16" s="23">
        <f t="shared" si="6"/>
        <v>64145.729999999989</v>
      </c>
      <c r="P16" s="23">
        <f t="shared" si="6"/>
        <v>17303.969999999998</v>
      </c>
      <c r="Q16" s="23">
        <f t="shared" si="6"/>
        <v>16951.380000000005</v>
      </c>
      <c r="R16" s="23">
        <f t="shared" si="6"/>
        <v>20967.18</v>
      </c>
      <c r="S16" s="23">
        <f t="shared" si="6"/>
        <v>20314.310000000001</v>
      </c>
      <c r="T16" s="23">
        <f t="shared" si="6"/>
        <v>75536.84</v>
      </c>
      <c r="Y16" s="1">
        <f t="shared" si="5"/>
        <v>0</v>
      </c>
    </row>
    <row r="17" spans="1:30">
      <c r="A17" s="20" t="s">
        <v>46</v>
      </c>
      <c r="B17" s="20"/>
      <c r="C17" s="20"/>
      <c r="D17" s="20"/>
      <c r="F17" s="1">
        <v>2084.37</v>
      </c>
      <c r="G17" s="1">
        <v>1801.94</v>
      </c>
      <c r="H17" s="1">
        <v>1327</v>
      </c>
      <c r="I17" s="1">
        <v>1533.59</v>
      </c>
      <c r="J17" s="42">
        <f>I17+H17+G17+F17</f>
        <v>6746.9000000000005</v>
      </c>
      <c r="K17" s="1">
        <v>1183.0899999999999</v>
      </c>
      <c r="L17" s="1">
        <v>1801.94</v>
      </c>
      <c r="M17" s="1">
        <v>1672.68</v>
      </c>
      <c r="N17" s="1">
        <v>1994.75</v>
      </c>
      <c r="O17" s="42">
        <f t="shared" si="4"/>
        <v>6652.4600000000009</v>
      </c>
      <c r="P17" s="1">
        <v>2546.11</v>
      </c>
      <c r="Q17" s="1">
        <v>1994.75</v>
      </c>
      <c r="R17" s="1">
        <v>1870.1</v>
      </c>
      <c r="S17" s="6">
        <v>1760.87</v>
      </c>
      <c r="T17" s="42">
        <f>+S17+R17+Q17+P17</f>
        <v>8171.83</v>
      </c>
      <c r="Y17" s="1">
        <f t="shared" si="5"/>
        <v>0</v>
      </c>
    </row>
    <row r="18" spans="1:30">
      <c r="A18" s="12" t="s">
        <v>47</v>
      </c>
      <c r="B18" s="12"/>
      <c r="C18" s="12"/>
      <c r="D18" s="12"/>
      <c r="E18" s="12"/>
      <c r="F18" s="13">
        <f t="shared" ref="F18:S18" si="7">+F17+F16</f>
        <v>10691.34</v>
      </c>
      <c r="G18" s="13">
        <f t="shared" si="7"/>
        <v>13803.07</v>
      </c>
      <c r="H18" s="13">
        <f t="shared" si="7"/>
        <v>15185.81</v>
      </c>
      <c r="I18" s="13">
        <f t="shared" si="7"/>
        <v>16061.3</v>
      </c>
      <c r="J18" s="43">
        <f t="shared" ref="J18" si="8">I18+H18+G18+F18</f>
        <v>55741.520000000004</v>
      </c>
      <c r="K18" s="13">
        <f t="shared" si="7"/>
        <v>15334.960000000003</v>
      </c>
      <c r="L18" s="13">
        <f t="shared" si="7"/>
        <v>17222.879999999997</v>
      </c>
      <c r="M18" s="13">
        <f t="shared" si="7"/>
        <v>19294.22</v>
      </c>
      <c r="N18" s="13">
        <f t="shared" si="7"/>
        <v>18946.130000000005</v>
      </c>
      <c r="O18" s="43">
        <f t="shared" si="4"/>
        <v>70798.19</v>
      </c>
      <c r="P18" s="13">
        <f t="shared" si="7"/>
        <v>19850.079999999998</v>
      </c>
      <c r="Q18" s="13">
        <f>+Q17+Q16</f>
        <v>18946.130000000005</v>
      </c>
      <c r="R18" s="13">
        <f t="shared" si="7"/>
        <v>22837.279999999999</v>
      </c>
      <c r="S18" s="13">
        <f t="shared" si="7"/>
        <v>22075.18</v>
      </c>
      <c r="T18" s="43">
        <f t="shared" ref="T18" si="9">+S18+R18+Q18+P18</f>
        <v>83708.67</v>
      </c>
      <c r="Y18" s="1">
        <f t="shared" si="5"/>
        <v>0</v>
      </c>
    </row>
    <row r="19" spans="1:30">
      <c r="A19" s="12"/>
      <c r="B19" s="12"/>
      <c r="C19" s="12"/>
      <c r="D19" s="12"/>
      <c r="E19" s="12"/>
      <c r="F19" s="13"/>
      <c r="G19" s="13"/>
      <c r="H19" s="13"/>
      <c r="I19" s="13"/>
      <c r="J19" s="43"/>
      <c r="K19" s="13"/>
      <c r="L19" s="13"/>
      <c r="M19" s="13"/>
      <c r="N19" s="13"/>
      <c r="O19" s="43"/>
      <c r="P19" s="13"/>
      <c r="Q19" s="13"/>
      <c r="R19" s="13"/>
      <c r="S19" s="13"/>
      <c r="T19" s="43"/>
    </row>
    <row r="20" spans="1:30">
      <c r="A20" s="1" t="s">
        <v>48</v>
      </c>
      <c r="J20" s="42"/>
      <c r="O20" s="42"/>
      <c r="S20" s="6"/>
      <c r="T20" s="42"/>
    </row>
    <row r="21" spans="1:30" hidden="1" outlineLevel="1">
      <c r="A21" s="1" t="s">
        <v>49</v>
      </c>
      <c r="J21" s="42"/>
      <c r="O21" s="42"/>
      <c r="S21" s="6"/>
      <c r="T21" s="42"/>
    </row>
    <row r="22" spans="1:30" hidden="1" outlineLevel="1">
      <c r="A22" s="5" t="s">
        <v>50</v>
      </c>
      <c r="B22" s="5"/>
      <c r="C22" s="5"/>
      <c r="D22" s="5"/>
      <c r="F22" s="7" t="e">
        <f>F8/#REF!-1</f>
        <v>#REF!</v>
      </c>
      <c r="G22" s="7" t="e">
        <f>G8/#REF!-1</f>
        <v>#REF!</v>
      </c>
      <c r="H22" s="7" t="e">
        <f>H8/#REF!-1</f>
        <v>#REF!</v>
      </c>
      <c r="I22" s="7" t="e">
        <f>I8/#REF!-1</f>
        <v>#REF!</v>
      </c>
      <c r="J22" s="44"/>
      <c r="K22" s="7">
        <f>K8/F8-1</f>
        <v>0.17768167826162062</v>
      </c>
      <c r="L22" s="7">
        <f>L8/G8-1</f>
        <v>0.22847791085717306</v>
      </c>
      <c r="M22" s="7">
        <f t="shared" ref="M22" si="10">M8/H8-1</f>
        <v>0.37585268376587244</v>
      </c>
      <c r="N22" s="7">
        <f>N8/I8-1</f>
        <v>0.29529847556631994</v>
      </c>
      <c r="O22" s="7">
        <f>O8/J8-1</f>
        <v>0.27341859624218245</v>
      </c>
      <c r="P22" s="7">
        <f>P8/K8-1</f>
        <v>0.31546135157522581</v>
      </c>
      <c r="Q22" s="7">
        <f>Q8/L8-1</f>
        <v>0.14416724047110097</v>
      </c>
      <c r="R22" s="7">
        <f>R8/M8-1</f>
        <v>0.26949811152031433</v>
      </c>
      <c r="S22" s="24">
        <f>S8/N8-1</f>
        <v>0.24744075836830781</v>
      </c>
      <c r="T22" s="24">
        <f>T8/O8-1</f>
        <v>0.24402423706012044</v>
      </c>
      <c r="V22" s="15"/>
      <c r="Y22" s="48">
        <v>0.22</v>
      </c>
    </row>
    <row r="23" spans="1:30" hidden="1" outlineLevel="1">
      <c r="A23" s="5" t="s">
        <v>51</v>
      </c>
      <c r="B23" s="5"/>
      <c r="C23" s="5"/>
      <c r="D23" s="5"/>
      <c r="F23" s="7" t="e">
        <f>F13/#REF!-1</f>
        <v>#REF!</v>
      </c>
      <c r="G23" s="7" t="e">
        <f>G13/#REF!-1</f>
        <v>#REF!</v>
      </c>
      <c r="H23" s="7" t="e">
        <f>H13/#REF!-1</f>
        <v>#REF!</v>
      </c>
      <c r="I23" s="7" t="e">
        <f>I13/#REF!-1</f>
        <v>#REF!</v>
      </c>
      <c r="J23" s="44"/>
      <c r="K23" s="7">
        <f>K13/F13-1</f>
        <v>1.7103920744909074E-2</v>
      </c>
      <c r="L23" s="7">
        <f>L13/G13-1</f>
        <v>-1.6662974485422311E-2</v>
      </c>
      <c r="M23" s="7">
        <f t="shared" ref="M23" si="11">M13/H13-1</f>
        <v>0.27349093233272326</v>
      </c>
      <c r="N23" s="7">
        <f>N13/I13-1</f>
        <v>0.1122713524413077</v>
      </c>
      <c r="O23" s="7">
        <f>O13/J13-1</f>
        <v>9.4744183385283343E-2</v>
      </c>
      <c r="P23" s="7">
        <f>P13/K13-1</f>
        <v>0.34792939425023373</v>
      </c>
      <c r="Q23" s="7">
        <f>Q13/L13-1</f>
        <v>0.14975561497850021</v>
      </c>
      <c r="R23" s="7">
        <f>R13/M13-1</f>
        <v>0.12038826333076136</v>
      </c>
      <c r="S23" s="24">
        <f>S13/N13-1</f>
        <v>0.22103729703020902</v>
      </c>
      <c r="T23" s="24">
        <f>T13/O13-1</f>
        <v>0.20247084598553489</v>
      </c>
      <c r="Y23" s="48">
        <v>0.25</v>
      </c>
    </row>
    <row r="24" spans="1:30" hidden="1" outlineLevel="1">
      <c r="A24" s="5" t="s">
        <v>52</v>
      </c>
      <c r="B24" s="5"/>
      <c r="C24" s="5"/>
      <c r="D24" s="5"/>
      <c r="F24" s="7" t="e">
        <f>F14/#REF!-1</f>
        <v>#REF!</v>
      </c>
      <c r="G24" s="7" t="e">
        <f>G14/#REF!-1</f>
        <v>#REF!</v>
      </c>
      <c r="H24" s="7" t="e">
        <f>H14/#REF!-1</f>
        <v>#REF!</v>
      </c>
      <c r="I24" s="7" t="e">
        <f>I14/#REF!-1</f>
        <v>#REF!</v>
      </c>
      <c r="J24" s="44"/>
      <c r="K24" s="7" t="e">
        <f>K14/F14-1</f>
        <v>#DIV/0!</v>
      </c>
      <c r="L24" s="7">
        <f>L14/G14-1</f>
        <v>1.0757017085076708</v>
      </c>
      <c r="M24" s="7">
        <f>M14/H14-1</f>
        <v>0.15493709422176449</v>
      </c>
      <c r="N24" s="7">
        <f>N14/I14-1</f>
        <v>9.8842659235118591E-2</v>
      </c>
      <c r="O24" s="7">
        <f>O14/J14-1</f>
        <v>0.75527938848168308</v>
      </c>
      <c r="P24" s="7">
        <f>P14/K14-1</f>
        <v>2.3841929982008514E-2</v>
      </c>
      <c r="Q24" s="7">
        <f>Q14/L14-1</f>
        <v>1.788980134341589E-3</v>
      </c>
      <c r="R24" s="7">
        <f>R14/M14-1</f>
        <v>0.1808013919081275</v>
      </c>
      <c r="S24" s="24">
        <f>S14/N14-1</f>
        <v>0.15538428969966533</v>
      </c>
      <c r="T24" s="24">
        <f>T14/O14-1</f>
        <v>9.1702206728131896E-2</v>
      </c>
      <c r="U24" s="33"/>
      <c r="Y24" s="48">
        <v>0.14000000000000001</v>
      </c>
    </row>
    <row r="25" spans="1:30" hidden="1" outlineLevel="1">
      <c r="A25" s="1" t="s">
        <v>53</v>
      </c>
      <c r="F25" s="7" t="e">
        <f>F16/#REF!-1</f>
        <v>#REF!</v>
      </c>
      <c r="G25" s="7" t="e">
        <f>G16/#REF!-1</f>
        <v>#REF!</v>
      </c>
      <c r="H25" s="7" t="e">
        <f>H16/#REF!-1</f>
        <v>#REF!</v>
      </c>
      <c r="I25" s="7" t="e">
        <f>I16/#REF!-1</f>
        <v>#REF!</v>
      </c>
      <c r="J25" s="44"/>
      <c r="K25" s="7">
        <f>K16/F16-1</f>
        <v>0.64423368502504408</v>
      </c>
      <c r="L25" s="7">
        <f>L16/G16-1</f>
        <v>0.28495733318445837</v>
      </c>
      <c r="M25" s="7">
        <f>M16/H16-1</f>
        <v>0.27150455197812806</v>
      </c>
      <c r="N25" s="7">
        <f>N16/I16-1</f>
        <v>0.16683083569261825</v>
      </c>
      <c r="O25" s="7">
        <f>O16/J16-1</f>
        <v>0.30924027985113445</v>
      </c>
      <c r="P25" s="7">
        <f>P16/K16-1</f>
        <v>0.22273381538976778</v>
      </c>
      <c r="Q25" s="7">
        <f>Q16/L16-1</f>
        <v>9.9244274343847083E-2</v>
      </c>
      <c r="R25" s="7">
        <f>R16/M16-1</f>
        <v>0.18986081806697941</v>
      </c>
      <c r="S25" s="24">
        <f>S16/N16-1</f>
        <v>0.19838679800700576</v>
      </c>
      <c r="T25" s="24">
        <f>T16/O16-1</f>
        <v>0.17758173459090743</v>
      </c>
    </row>
    <row r="26" spans="1:30" collapsed="1">
      <c r="J26" s="42"/>
      <c r="O26" s="42"/>
      <c r="S26" s="6"/>
      <c r="T26" s="42"/>
    </row>
    <row r="27" spans="1:30">
      <c r="A27" s="1" t="s">
        <v>54</v>
      </c>
      <c r="J27" s="42"/>
      <c r="O27" s="42"/>
      <c r="S27" s="6"/>
      <c r="T27" s="42"/>
    </row>
    <row r="28" spans="1:30">
      <c r="A28" s="5" t="s">
        <v>55</v>
      </c>
      <c r="B28" s="5"/>
      <c r="C28" s="5"/>
      <c r="D28" s="5"/>
      <c r="F28" s="1">
        <f>+F29+F30+F31</f>
        <v>0</v>
      </c>
      <c r="G28" s="1">
        <f t="shared" ref="G28:S28" si="12">+G29+G30+G31</f>
        <v>0</v>
      </c>
      <c r="H28" s="1">
        <f t="shared" si="12"/>
        <v>0</v>
      </c>
      <c r="I28" s="1">
        <f t="shared" si="12"/>
        <v>0</v>
      </c>
      <c r="J28" s="42"/>
      <c r="K28" s="1">
        <f t="shared" si="12"/>
        <v>0</v>
      </c>
      <c r="L28" s="1">
        <f t="shared" si="12"/>
        <v>0</v>
      </c>
      <c r="M28" s="1">
        <f t="shared" si="12"/>
        <v>0</v>
      </c>
      <c r="N28" s="1">
        <f t="shared" si="12"/>
        <v>7035.7400000000007</v>
      </c>
      <c r="O28" s="42"/>
      <c r="P28" s="1">
        <f t="shared" si="12"/>
        <v>0</v>
      </c>
      <c r="Q28" s="1">
        <f t="shared" si="12"/>
        <v>0</v>
      </c>
      <c r="R28" s="1">
        <f t="shared" si="12"/>
        <v>7573.83</v>
      </c>
      <c r="S28" s="6">
        <f t="shared" si="12"/>
        <v>7767.67</v>
      </c>
      <c r="T28" s="42"/>
      <c r="U28" s="6">
        <f t="shared" ref="U28" si="13">+U29+U30+U31</f>
        <v>7156.6440999999995</v>
      </c>
      <c r="V28" s="6">
        <f t="shared" ref="V28" si="14">+V29+V30+V31</f>
        <v>0</v>
      </c>
      <c r="W28" s="6">
        <f t="shared" ref="W28" si="15">+W29+W30+W31</f>
        <v>0</v>
      </c>
      <c r="X28" s="6">
        <f t="shared" ref="X28" si="16">+X29+X30+X31</f>
        <v>7702.9935999999998</v>
      </c>
      <c r="Y28" s="6"/>
      <c r="Z28" s="6">
        <f t="shared" ref="Z28" si="17">+Z29+Z30+Z31</f>
        <v>7899.9238499999992</v>
      </c>
      <c r="AA28" s="6">
        <f t="shared" ref="AA28" si="18">+AA29+AA30+AA31</f>
        <v>7279.6691215000001</v>
      </c>
      <c r="AB28" s="6">
        <f t="shared" ref="AB28" si="19">+AB29+AB30+AB31</f>
        <v>0</v>
      </c>
      <c r="AC28" s="6">
        <f t="shared" ref="AC28" si="20">+AC29+AC30+AC31</f>
        <v>0</v>
      </c>
      <c r="AD28" s="6"/>
    </row>
    <row r="29" spans="1:30">
      <c r="A29" s="19" t="s">
        <v>36</v>
      </c>
      <c r="B29" s="19"/>
      <c r="C29" s="19"/>
      <c r="D29" s="19"/>
      <c r="J29" s="42"/>
      <c r="N29" s="1">
        <v>3073.6</v>
      </c>
      <c r="O29" s="42"/>
      <c r="R29" s="1">
        <v>3111.23</v>
      </c>
      <c r="S29" s="6">
        <v>3147.76</v>
      </c>
      <c r="T29" s="42"/>
      <c r="U29" s="1">
        <f>N29*(1.02)</f>
        <v>3135.0720000000001</v>
      </c>
      <c r="V29" s="1">
        <f>P29*(1.02)</f>
        <v>0</v>
      </c>
      <c r="W29" s="1">
        <f>Q29*(1.02)</f>
        <v>0</v>
      </c>
      <c r="X29" s="1">
        <f>R29*(1.02)</f>
        <v>3173.4546</v>
      </c>
      <c r="Z29" s="1">
        <f t="shared" ref="Z29" si="21">S29*(1.02)</f>
        <v>3210.7152000000001</v>
      </c>
      <c r="AA29" s="1">
        <f t="shared" ref="AA29" si="22">U29*(1.02)</f>
        <v>3197.7734400000004</v>
      </c>
      <c r="AB29" s="1">
        <f t="shared" ref="AB29" si="23">V29*(1.02)</f>
        <v>0</v>
      </c>
      <c r="AC29" s="1">
        <f t="shared" ref="AC29" si="24">W29*(1.02)</f>
        <v>0</v>
      </c>
    </row>
    <row r="30" spans="1:30">
      <c r="A30" s="19" t="s">
        <v>41</v>
      </c>
      <c r="B30" s="19"/>
      <c r="C30" s="19"/>
      <c r="D30" s="19"/>
      <c r="J30" s="42"/>
      <c r="N30" s="1">
        <v>2437.75</v>
      </c>
      <c r="O30" s="42"/>
      <c r="R30" s="1">
        <v>2527.2199999999998</v>
      </c>
      <c r="S30" s="6">
        <v>2839.41</v>
      </c>
      <c r="T30" s="42"/>
      <c r="U30" s="1">
        <f>N30*(1.015)</f>
        <v>2474.3162499999999</v>
      </c>
      <c r="V30" s="1">
        <f>P30*(1.015)</f>
        <v>0</v>
      </c>
      <c r="W30" s="1">
        <f>Q30*(1.015)</f>
        <v>0</v>
      </c>
      <c r="X30" s="1">
        <f>R30*(1.015)</f>
        <v>2565.1282999999994</v>
      </c>
      <c r="Z30" s="1">
        <f>S30*(1.015)</f>
        <v>2882.0011499999996</v>
      </c>
      <c r="AA30" s="1">
        <f t="shared" ref="AA30:AC31" si="25">U30*(1.015)</f>
        <v>2511.4309937499997</v>
      </c>
      <c r="AB30" s="1">
        <f t="shared" si="25"/>
        <v>0</v>
      </c>
      <c r="AC30" s="1">
        <f t="shared" si="25"/>
        <v>0</v>
      </c>
    </row>
    <row r="31" spans="1:30">
      <c r="A31" s="19" t="s">
        <v>42</v>
      </c>
      <c r="B31" s="19"/>
      <c r="C31" s="19"/>
      <c r="D31" s="19"/>
      <c r="J31" s="42"/>
      <c r="N31" s="1">
        <v>1524.39</v>
      </c>
      <c r="O31" s="42"/>
      <c r="R31" s="1">
        <v>1935.38</v>
      </c>
      <c r="S31" s="6">
        <v>1780.5</v>
      </c>
      <c r="T31" s="42"/>
      <c r="U31" s="1">
        <f>N31*(1.015)</f>
        <v>1547.25585</v>
      </c>
      <c r="V31" s="1">
        <f>P31*(1.015)</f>
        <v>0</v>
      </c>
      <c r="W31" s="1">
        <f>Q31*(1.015)</f>
        <v>0</v>
      </c>
      <c r="X31" s="1">
        <f>R31*(1.015)</f>
        <v>1964.4106999999999</v>
      </c>
      <c r="Z31" s="1">
        <f>S31*(1.015)</f>
        <v>1807.2074999999998</v>
      </c>
      <c r="AA31" s="1">
        <f t="shared" si="25"/>
        <v>1570.4646877499999</v>
      </c>
      <c r="AB31" s="1">
        <f t="shared" si="25"/>
        <v>0</v>
      </c>
      <c r="AC31" s="1">
        <f t="shared" si="25"/>
        <v>0</v>
      </c>
    </row>
    <row r="32" spans="1:30">
      <c r="A32" s="5" t="s">
        <v>56</v>
      </c>
      <c r="B32" s="5"/>
      <c r="C32" s="5"/>
      <c r="D32" s="5"/>
      <c r="F32" s="1">
        <f>+F33+F34+F35</f>
        <v>0</v>
      </c>
      <c r="G32" s="1">
        <f t="shared" ref="G32:S32" si="26">+G33+G34+G35</f>
        <v>0</v>
      </c>
      <c r="H32" s="1">
        <f t="shared" si="26"/>
        <v>0</v>
      </c>
      <c r="I32" s="1">
        <f t="shared" si="26"/>
        <v>0</v>
      </c>
      <c r="J32" s="42"/>
      <c r="K32" s="1">
        <f t="shared" si="26"/>
        <v>0</v>
      </c>
      <c r="L32" s="1">
        <f t="shared" si="26"/>
        <v>0</v>
      </c>
      <c r="M32" s="1">
        <f t="shared" si="26"/>
        <v>0</v>
      </c>
      <c r="N32" s="1">
        <f t="shared" si="26"/>
        <v>762.75</v>
      </c>
      <c r="O32" s="42"/>
      <c r="P32" s="1">
        <f t="shared" si="26"/>
        <v>0</v>
      </c>
      <c r="Q32" s="1">
        <f t="shared" si="26"/>
        <v>0</v>
      </c>
      <c r="R32" s="1">
        <f t="shared" si="26"/>
        <v>777.74</v>
      </c>
      <c r="S32" s="6">
        <f t="shared" si="26"/>
        <v>803.92</v>
      </c>
      <c r="T32" s="42"/>
    </row>
    <row r="33" spans="1:21">
      <c r="A33" s="19" t="s">
        <v>36</v>
      </c>
      <c r="B33" s="19"/>
      <c r="C33" s="19"/>
      <c r="D33" s="19"/>
      <c r="J33" s="42"/>
      <c r="N33" s="1">
        <v>762.75</v>
      </c>
      <c r="O33" s="42"/>
      <c r="R33" s="1">
        <v>777.74</v>
      </c>
      <c r="S33" s="6">
        <v>803.92</v>
      </c>
      <c r="T33" s="42"/>
    </row>
    <row r="34" spans="1:21">
      <c r="A34" s="19" t="s">
        <v>41</v>
      </c>
      <c r="B34" s="19"/>
      <c r="C34" s="19"/>
      <c r="D34" s="19"/>
      <c r="J34" s="42"/>
      <c r="O34" s="42"/>
      <c r="S34" s="6"/>
      <c r="T34" s="42"/>
    </row>
    <row r="35" spans="1:21">
      <c r="A35" s="19" t="s">
        <v>42</v>
      </c>
      <c r="B35" s="19"/>
      <c r="C35" s="19"/>
      <c r="D35" s="19"/>
      <c r="J35" s="42"/>
      <c r="O35" s="42"/>
      <c r="S35" s="6"/>
      <c r="T35" s="42"/>
    </row>
    <row r="36" spans="1:21">
      <c r="A36" s="5" t="s">
        <v>57</v>
      </c>
      <c r="B36" s="5"/>
      <c r="C36" s="5"/>
      <c r="D36" s="5"/>
      <c r="F36" s="1">
        <f>+F37+F38+F39</f>
        <v>0</v>
      </c>
      <c r="G36" s="1">
        <f t="shared" ref="G36" si="27">+G37+G38+G39</f>
        <v>0</v>
      </c>
      <c r="H36" s="1">
        <f t="shared" ref="H36" si="28">+H37+H38+H39</f>
        <v>0</v>
      </c>
      <c r="I36" s="1">
        <f t="shared" ref="I36" si="29">+I37+I38+I39</f>
        <v>0</v>
      </c>
      <c r="J36" s="42"/>
      <c r="K36" s="1">
        <f t="shared" ref="K36" si="30">+K37+K38+K39</f>
        <v>0</v>
      </c>
      <c r="L36" s="1">
        <f t="shared" ref="L36" si="31">+L37+L38+L39</f>
        <v>0</v>
      </c>
      <c r="M36" s="1">
        <f t="shared" ref="M36" si="32">+M37+M38+M39</f>
        <v>0</v>
      </c>
      <c r="N36" s="1">
        <f t="shared" ref="N36" si="33">+N37+N38+N39</f>
        <v>4607.8799999999992</v>
      </c>
      <c r="O36" s="42"/>
      <c r="P36" s="1">
        <f t="shared" ref="P36" si="34">+P37+P38+P39</f>
        <v>0</v>
      </c>
      <c r="Q36" s="1">
        <f t="shared" ref="Q36" si="35">+Q37+Q38+Q39</f>
        <v>0</v>
      </c>
      <c r="R36" s="1">
        <f t="shared" ref="R36" si="36">+R37+R38+R39</f>
        <v>4894.8500000000004</v>
      </c>
      <c r="S36" s="6">
        <f t="shared" ref="S36" si="37">+S37+S38+S39</f>
        <v>4889.79</v>
      </c>
      <c r="T36" s="42"/>
      <c r="U36" s="1">
        <v>4527.59</v>
      </c>
    </row>
    <row r="37" spans="1:21">
      <c r="A37" s="19" t="s">
        <v>36</v>
      </c>
      <c r="B37" s="19"/>
      <c r="C37" s="19"/>
      <c r="D37" s="19"/>
      <c r="J37" s="42"/>
      <c r="N37" s="1">
        <v>713.93</v>
      </c>
      <c r="O37" s="42"/>
      <c r="R37" s="1">
        <v>1072.25</v>
      </c>
      <c r="S37" s="6">
        <v>868.57</v>
      </c>
      <c r="T37" s="42"/>
    </row>
    <row r="38" spans="1:21">
      <c r="A38" s="19" t="s">
        <v>41</v>
      </c>
      <c r="B38" s="19"/>
      <c r="C38" s="19"/>
      <c r="D38" s="19"/>
      <c r="J38" s="42"/>
      <c r="N38" s="1">
        <v>2013.58</v>
      </c>
      <c r="O38" s="42"/>
      <c r="R38" s="1">
        <v>2081.44</v>
      </c>
      <c r="S38" s="6">
        <v>2119</v>
      </c>
      <c r="T38" s="42"/>
    </row>
    <row r="39" spans="1:21">
      <c r="A39" s="19" t="s">
        <v>42</v>
      </c>
      <c r="B39" s="19"/>
      <c r="C39" s="19"/>
      <c r="D39" s="19"/>
      <c r="J39" s="42"/>
      <c r="N39" s="1">
        <v>1880.37</v>
      </c>
      <c r="O39" s="42"/>
      <c r="R39" s="1">
        <v>1741.16</v>
      </c>
      <c r="S39" s="6">
        <v>1902.22</v>
      </c>
      <c r="T39" s="42"/>
    </row>
    <row r="40" spans="1:21">
      <c r="A40" s="14" t="s">
        <v>54</v>
      </c>
      <c r="B40" s="14"/>
      <c r="C40" s="14"/>
      <c r="D40" s="14"/>
      <c r="E40" s="14"/>
      <c r="F40" s="13">
        <f>F28+F32+F36</f>
        <v>0</v>
      </c>
      <c r="G40" s="13">
        <f t="shared" ref="G40:R40" si="38">G28+G32+G36</f>
        <v>0</v>
      </c>
      <c r="H40" s="13">
        <f t="shared" si="38"/>
        <v>0</v>
      </c>
      <c r="I40" s="13">
        <f t="shared" si="38"/>
        <v>0</v>
      </c>
      <c r="J40" s="43"/>
      <c r="K40" s="13">
        <f t="shared" si="38"/>
        <v>0</v>
      </c>
      <c r="L40" s="13">
        <f t="shared" si="38"/>
        <v>0</v>
      </c>
      <c r="M40" s="13">
        <f t="shared" si="38"/>
        <v>0</v>
      </c>
      <c r="N40" s="13">
        <f t="shared" si="38"/>
        <v>12406.369999999999</v>
      </c>
      <c r="O40" s="43"/>
      <c r="P40" s="13">
        <f t="shared" si="38"/>
        <v>0</v>
      </c>
      <c r="Q40" s="13">
        <f t="shared" si="38"/>
        <v>0</v>
      </c>
      <c r="R40" s="13">
        <f t="shared" si="38"/>
        <v>13246.42</v>
      </c>
      <c r="S40" s="13">
        <f>S28+S32+S36</f>
        <v>13461.380000000001</v>
      </c>
      <c r="T40" s="43"/>
    </row>
    <row r="41" spans="1:21">
      <c r="F41" s="6"/>
      <c r="G41" s="6"/>
      <c r="H41" s="6"/>
      <c r="I41" s="6"/>
      <c r="J41" s="42"/>
      <c r="K41" s="6"/>
      <c r="L41" s="6"/>
      <c r="M41" s="6"/>
      <c r="N41" s="6"/>
      <c r="O41" s="42"/>
      <c r="P41" s="6"/>
      <c r="Q41" s="6"/>
      <c r="R41" s="6"/>
      <c r="S41" s="6"/>
      <c r="T41" s="42"/>
    </row>
    <row r="42" spans="1:21">
      <c r="A42" s="1" t="s">
        <v>58</v>
      </c>
      <c r="H42" s="7"/>
      <c r="I42" s="7"/>
      <c r="J42" s="44"/>
      <c r="K42" s="7"/>
      <c r="L42" s="7"/>
      <c r="M42" s="7"/>
      <c r="N42" s="25">
        <f>N16-N40</f>
        <v>4545.0100000000057</v>
      </c>
      <c r="O42" s="45"/>
      <c r="P42" s="24"/>
      <c r="Q42" s="24"/>
      <c r="R42" s="25">
        <f>R16-R40</f>
        <v>7720.76</v>
      </c>
      <c r="S42" s="25">
        <f>S16-S40</f>
        <v>6852.93</v>
      </c>
      <c r="T42" s="45"/>
    </row>
    <row r="43" spans="1:21">
      <c r="A43" s="1" t="s">
        <v>59</v>
      </c>
      <c r="J43" s="42"/>
      <c r="N43" s="24">
        <f>N42/N16</f>
        <v>0.26812035362312708</v>
      </c>
      <c r="O43" s="44"/>
      <c r="P43" s="6"/>
      <c r="Q43" s="6"/>
      <c r="R43" s="24">
        <f>R42/R16</f>
        <v>0.36823073012202884</v>
      </c>
      <c r="S43" s="24">
        <f>S42/S16</f>
        <v>0.33734495535413211</v>
      </c>
      <c r="T43" s="44"/>
    </row>
    <row r="44" spans="1:21">
      <c r="J44" s="42"/>
      <c r="N44" s="6"/>
      <c r="O44" s="42"/>
      <c r="P44" s="6"/>
      <c r="Q44" s="6"/>
      <c r="R44" s="6"/>
      <c r="S44" s="6"/>
      <c r="T44" s="42"/>
    </row>
    <row r="45" spans="1:21">
      <c r="J45" s="42"/>
      <c r="O45" s="42"/>
      <c r="S45" s="6"/>
      <c r="T45" s="42"/>
    </row>
    <row r="46" spans="1:21">
      <c r="J46" s="42"/>
      <c r="O46" s="42"/>
      <c r="S46" s="6"/>
      <c r="T46" s="42"/>
    </row>
    <row r="47" spans="1:21">
      <c r="J47" s="42"/>
      <c r="O47" s="42"/>
      <c r="S47" s="6"/>
      <c r="T47" s="42"/>
    </row>
    <row r="48" spans="1:21">
      <c r="J48" s="42"/>
      <c r="O48" s="42"/>
      <c r="S48" s="6"/>
      <c r="T48" s="42"/>
    </row>
    <row r="49" spans="10:20">
      <c r="J49" s="42"/>
      <c r="O49" s="42"/>
      <c r="S49" s="6"/>
      <c r="T49" s="42"/>
    </row>
    <row r="50" spans="10:20">
      <c r="J50" s="42"/>
      <c r="O50" s="42"/>
      <c r="S50" s="6"/>
      <c r="T50" s="42"/>
    </row>
    <row r="51" spans="10:20">
      <c r="J51" s="42"/>
      <c r="O51" s="42"/>
      <c r="S51" s="6"/>
      <c r="T51" s="42"/>
    </row>
    <row r="52" spans="10:20">
      <c r="J52" s="42"/>
      <c r="O52" s="42"/>
      <c r="S52" s="6"/>
      <c r="T52" s="42"/>
    </row>
    <row r="53" spans="10:20">
      <c r="J53" s="42"/>
      <c r="O53" s="42"/>
      <c r="S53" s="6"/>
      <c r="T53" s="42"/>
    </row>
    <row r="54" spans="10:20">
      <c r="J54" s="42"/>
      <c r="O54" s="42"/>
      <c r="S54" s="6"/>
      <c r="T54" s="42"/>
    </row>
    <row r="55" spans="10:20">
      <c r="J55" s="42"/>
      <c r="O55" s="42"/>
      <c r="S55" s="6"/>
      <c r="T55" s="42"/>
    </row>
    <row r="56" spans="10:20">
      <c r="J56" s="42"/>
      <c r="S56" s="6"/>
      <c r="T56" s="42"/>
    </row>
    <row r="57" spans="10:20">
      <c r="J57" s="42"/>
      <c r="S57" s="6"/>
      <c r="T57" s="4"/>
    </row>
    <row r="58" spans="10:20">
      <c r="J58" s="42"/>
      <c r="S58" s="6"/>
      <c r="T58" s="4"/>
    </row>
    <row r="59" spans="10:20">
      <c r="S59" s="6"/>
      <c r="T59" s="4"/>
    </row>
    <row r="60" spans="10:20">
      <c r="S60" s="6"/>
      <c r="T60" s="4"/>
    </row>
    <row r="61" spans="10:20">
      <c r="S61" s="6"/>
      <c r="T61" s="4"/>
    </row>
    <row r="62" spans="10:20">
      <c r="S62" s="6"/>
      <c r="T62" s="4"/>
    </row>
    <row r="63" spans="10:20">
      <c r="S63" s="6"/>
      <c r="T63" s="4"/>
    </row>
    <row r="64" spans="10:20">
      <c r="S64" s="6"/>
      <c r="T64" s="6"/>
    </row>
    <row r="65" spans="19:20">
      <c r="S65" s="6"/>
      <c r="T65" s="6"/>
    </row>
  </sheetData>
  <conditionalFormatting sqref="K22:T2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:T22">
    <cfRule type="colorScale" priority="23">
      <colorScale>
        <cfvo type="min"/>
        <cfvo type="max"/>
        <color rgb="FF63BE7B"/>
        <color rgb="FFFCFCFF"/>
      </colorScale>
    </cfRule>
  </conditionalFormatting>
  <conditionalFormatting sqref="K22:T22">
    <cfRule type="colorScale" priority="22">
      <colorScale>
        <cfvo type="min"/>
        <cfvo type="max"/>
        <color rgb="FFFCFCFF"/>
        <color rgb="FF63BE7B"/>
      </colorScale>
    </cfRule>
  </conditionalFormatting>
  <conditionalFormatting sqref="K23:T2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3:T23">
    <cfRule type="colorScale" priority="20">
      <colorScale>
        <cfvo type="min"/>
        <cfvo type="max"/>
        <color rgb="FF63BE7B"/>
        <color rgb="FFFCFCFF"/>
      </colorScale>
    </cfRule>
  </conditionalFormatting>
  <conditionalFormatting sqref="K23:T23">
    <cfRule type="colorScale" priority="19">
      <colorScale>
        <cfvo type="min"/>
        <cfvo type="max"/>
        <color rgb="FFFCFCFF"/>
        <color rgb="FF63BE7B"/>
      </colorScale>
    </cfRule>
  </conditionalFormatting>
  <conditionalFormatting sqref="K24:T2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:T24">
    <cfRule type="colorScale" priority="17">
      <colorScale>
        <cfvo type="min"/>
        <cfvo type="max"/>
        <color rgb="FF63BE7B"/>
        <color rgb="FFFCFCFF"/>
      </colorScale>
    </cfRule>
  </conditionalFormatting>
  <conditionalFormatting sqref="K24:T24">
    <cfRule type="colorScale" priority="16">
      <colorScale>
        <cfvo type="min"/>
        <cfvo type="max"/>
        <color rgb="FFFCFCFF"/>
        <color rgb="FF63BE7B"/>
      </colorScale>
    </cfRule>
  </conditionalFormatting>
  <conditionalFormatting sqref="K25:T2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5:T25">
    <cfRule type="colorScale" priority="14">
      <colorScale>
        <cfvo type="min"/>
        <cfvo type="max"/>
        <color rgb="FF63BE7B"/>
        <color rgb="FFFCFCFF"/>
      </colorScale>
    </cfRule>
  </conditionalFormatting>
  <conditionalFormatting sqref="K25:T25">
    <cfRule type="colorScale" priority="13">
      <colorScale>
        <cfvo type="min"/>
        <cfvo type="max"/>
        <color rgb="FFFCFCFF"/>
        <color rgb="FF63BE7B"/>
      </colorScale>
    </cfRule>
  </conditionalFormatting>
  <conditionalFormatting sqref="F22:J2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2:J22">
    <cfRule type="colorScale" priority="11">
      <colorScale>
        <cfvo type="min"/>
        <cfvo type="max"/>
        <color rgb="FF63BE7B"/>
        <color rgb="FFFCFCFF"/>
      </colorScale>
    </cfRule>
  </conditionalFormatting>
  <conditionalFormatting sqref="F22:J22">
    <cfRule type="colorScale" priority="10">
      <colorScale>
        <cfvo type="min"/>
        <cfvo type="max"/>
        <color rgb="FFFCFCFF"/>
        <color rgb="FF63BE7B"/>
      </colorScale>
    </cfRule>
  </conditionalFormatting>
  <conditionalFormatting sqref="F23:J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3:J23">
    <cfRule type="colorScale" priority="8">
      <colorScale>
        <cfvo type="min"/>
        <cfvo type="max"/>
        <color rgb="FF63BE7B"/>
        <color rgb="FFFCFCFF"/>
      </colorScale>
    </cfRule>
  </conditionalFormatting>
  <conditionalFormatting sqref="F23:J23">
    <cfRule type="colorScale" priority="7">
      <colorScale>
        <cfvo type="min"/>
        <cfvo type="max"/>
        <color rgb="FFFCFCFF"/>
        <color rgb="FF63BE7B"/>
      </colorScale>
    </cfRule>
  </conditionalFormatting>
  <conditionalFormatting sqref="F24:J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:J24">
    <cfRule type="colorScale" priority="5">
      <colorScale>
        <cfvo type="min"/>
        <cfvo type="max"/>
        <color rgb="FF63BE7B"/>
        <color rgb="FFFCFCFF"/>
      </colorScale>
    </cfRule>
  </conditionalFormatting>
  <conditionalFormatting sqref="F24:J24">
    <cfRule type="colorScale" priority="4">
      <colorScale>
        <cfvo type="min"/>
        <cfvo type="max"/>
        <color rgb="FFFCFCFF"/>
        <color rgb="FF63BE7B"/>
      </colorScale>
    </cfRule>
  </conditionalFormatting>
  <conditionalFormatting sqref="F25:J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5:J25">
    <cfRule type="colorScale" priority="2">
      <colorScale>
        <cfvo type="min"/>
        <cfvo type="max"/>
        <color rgb="FF63BE7B"/>
        <color rgb="FFFCFCFF"/>
      </colorScale>
    </cfRule>
  </conditionalFormatting>
  <conditionalFormatting sqref="F25:J25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M3" r:id="rId1" display="29-Jan" xr:uid="{E1B07154-7F58-4279-9C83-DAC8402F82F7}"/>
    <hyperlink ref="R3" r:id="rId2" display="28-Jan" xr:uid="{248F46CF-ABB8-4710-AEB1-2C682DEC5BCB}"/>
    <hyperlink ref="S3" r:id="rId3" display="7-May" xr:uid="{595885A9-6189-4A7A-94AE-6F95A893AF58}"/>
    <hyperlink ref="Q3" r:id="rId4" display="28-Oct" xr:uid="{064DE892-5796-4D1A-9C83-1898D48DDEF2}"/>
    <hyperlink ref="P3" r:id="rId5" display="28-Jul" xr:uid="{16E61796-70F0-4187-A3D3-2248E2DAE6EB}"/>
    <hyperlink ref="N3" r:id="rId6" display="7-May" xr:uid="{48E7D2A7-2D80-4B8E-A065-9E87C64A71B3}"/>
    <hyperlink ref="L3" r:id="rId7" display="28-Oct" xr:uid="{BF9D6B2B-032F-4D89-A9D2-DF9C0F2BD349}"/>
    <hyperlink ref="F3" r:id="rId8" display="10-Aug" xr:uid="{9B0C7EBE-B72E-4AAE-AB4F-715CBDA003D5}"/>
    <hyperlink ref="T3" r:id="rId9" display="=Q3" xr:uid="{CDF137E4-8A26-4B63-BD7A-4017E6EB3E0E}"/>
  </hyperlinks>
  <pageMargins left="0.7" right="0.7" top="0.75" bottom="0.75" header="0.3" footer="0.3"/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D4B8-E34A-4CE3-AE99-5BA39059BA09}">
  <dimension ref="A2:E31"/>
  <sheetViews>
    <sheetView tabSelected="1" topLeftCell="A7" workbookViewId="0">
      <selection activeCell="A32" sqref="A32"/>
    </sheetView>
  </sheetViews>
  <sheetFormatPr defaultRowHeight="15"/>
  <cols>
    <col min="1" max="1" width="49.7109375" style="1" customWidth="1"/>
    <col min="2" max="2" width="9.140625" style="1"/>
    <col min="3" max="3" width="23.85546875" style="1" bestFit="1" customWidth="1"/>
    <col min="4" max="4" width="15" style="1" bestFit="1" customWidth="1"/>
    <col min="5" max="5" width="43.140625" style="1" customWidth="1"/>
    <col min="6" max="16384" width="9.140625" style="1"/>
  </cols>
  <sheetData>
    <row r="2" spans="1:5">
      <c r="C2" s="1" t="s">
        <v>60</v>
      </c>
      <c r="D2" s="2">
        <v>1730</v>
      </c>
    </row>
    <row r="3" spans="1:5">
      <c r="C3" s="1" t="s">
        <v>61</v>
      </c>
      <c r="D3" s="18">
        <v>47930000</v>
      </c>
    </row>
    <row r="4" spans="1:5">
      <c r="C4" s="1" t="s">
        <v>62</v>
      </c>
      <c r="D4" s="3">
        <f>(+D3*D2)/10^5</f>
        <v>829189</v>
      </c>
      <c r="E4" s="17"/>
    </row>
    <row r="5" spans="1:5">
      <c r="C5" s="1" t="s">
        <v>63</v>
      </c>
      <c r="D5" s="1">
        <f>3140.12+980.68</f>
        <v>4120.8</v>
      </c>
      <c r="E5" s="1" t="s">
        <v>64</v>
      </c>
    </row>
    <row r="6" spans="1:5" ht="16.5">
      <c r="C6" s="1" t="s">
        <v>65</v>
      </c>
      <c r="D6" s="1">
        <f>10943.82+3099.12</f>
        <v>14042.939999999999</v>
      </c>
      <c r="E6" s="15" t="s">
        <v>66</v>
      </c>
    </row>
    <row r="7" spans="1:5">
      <c r="C7" s="1" t="s">
        <v>67</v>
      </c>
      <c r="D7" s="3">
        <f>+D4-D5+D6</f>
        <v>839111.1399999999</v>
      </c>
      <c r="E7" s="3" t="s">
        <v>68</v>
      </c>
    </row>
    <row r="12" spans="1:5">
      <c r="A12" s="11" t="s">
        <v>69</v>
      </c>
    </row>
    <row r="13" spans="1:5" ht="16.5" customHeight="1">
      <c r="A13" s="15" t="s">
        <v>70</v>
      </c>
    </row>
    <row r="14" spans="1:5" ht="16.5">
      <c r="A14" s="15" t="s">
        <v>71</v>
      </c>
      <c r="E14" s="3"/>
    </row>
    <row r="15" spans="1:5">
      <c r="A15" s="1" t="s">
        <v>72</v>
      </c>
    </row>
    <row r="16" spans="1:5">
      <c r="A16" s="16" t="s">
        <v>73</v>
      </c>
    </row>
    <row r="17" spans="1:1" ht="17.25" customHeight="1">
      <c r="A17" s="15" t="s">
        <v>74</v>
      </c>
    </row>
    <row r="18" spans="1:1" ht="16.5">
      <c r="A18" s="15" t="s">
        <v>75</v>
      </c>
    </row>
    <row r="19" spans="1:1">
      <c r="A19" s="1" t="s">
        <v>76</v>
      </c>
    </row>
    <row r="20" spans="1:1">
      <c r="A20" s="1" t="s">
        <v>77</v>
      </c>
    </row>
    <row r="21" spans="1:1" ht="17.25" customHeight="1">
      <c r="A21" s="15" t="s">
        <v>78</v>
      </c>
    </row>
    <row r="22" spans="1:1" ht="33">
      <c r="A22" s="15" t="s">
        <v>79</v>
      </c>
    </row>
    <row r="23" spans="1:1" ht="33">
      <c r="A23" s="15" t="s">
        <v>80</v>
      </c>
    </row>
    <row r="26" spans="1:1">
      <c r="A26" s="11" t="s">
        <v>81</v>
      </c>
    </row>
    <row r="27" spans="1:1">
      <c r="A27" s="1" t="s">
        <v>82</v>
      </c>
    </row>
    <row r="28" spans="1:1">
      <c r="A28" s="1" t="s">
        <v>83</v>
      </c>
    </row>
    <row r="29" spans="1:1">
      <c r="A29" s="1" t="s">
        <v>84</v>
      </c>
    </row>
    <row r="30" spans="1:1">
      <c r="A30" s="1" t="s">
        <v>85</v>
      </c>
    </row>
    <row r="31" spans="1:1">
      <c r="A31" s="1" t="s">
        <v>86</v>
      </c>
    </row>
  </sheetData>
  <hyperlinks>
    <hyperlink ref="A16" r:id="rId1" xr:uid="{01F298B7-FF9E-4EFB-B734-3D7F8C1BF307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BA60-DF80-4577-8D99-AD522F8DB782}">
  <dimension ref="B2:D3"/>
  <sheetViews>
    <sheetView workbookViewId="0">
      <selection activeCell="C22" sqref="C22"/>
    </sheetView>
  </sheetViews>
  <sheetFormatPr defaultRowHeight="15"/>
  <cols>
    <col min="1" max="1" width="9.140625" style="1"/>
    <col min="2" max="2" width="36.5703125" style="1" bestFit="1" customWidth="1"/>
    <col min="3" max="16384" width="9.140625" style="1"/>
  </cols>
  <sheetData>
    <row r="2" spans="2:4">
      <c r="B2" s="1" t="s">
        <v>87</v>
      </c>
      <c r="C2" s="1" t="s">
        <v>88</v>
      </c>
      <c r="D2" s="1" t="s">
        <v>89</v>
      </c>
    </row>
    <row r="3" spans="2:4">
      <c r="B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2026-05-31T15:33:25Z</dcterms:created>
  <dcterms:modified xsi:type="dcterms:W3CDTF">2026-06-05T06:04:54Z</dcterms:modified>
  <cp:category/>
  <cp:contentStatus/>
</cp:coreProperties>
</file>