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kalpbhatia/Desktop/models/KARO/"/>
    </mc:Choice>
  </mc:AlternateContent>
  <xr:revisionPtr revIDLastSave="0" documentId="8_{8B6FBBC0-5D7E-FE4F-81FF-0C743B5731EA}" xr6:coauthVersionLast="47" xr6:coauthVersionMax="47" xr10:uidLastSave="{00000000-0000-0000-0000-000000000000}"/>
  <bookViews>
    <workbookView xWindow="380" yWindow="2200" windowWidth="30240" windowHeight="17260" xr2:uid="{14C64F93-024D-E341-BD78-63F8D292D09C}"/>
  </bookViews>
  <sheets>
    <sheet name="model" sheetId="1" r:id="rId1"/>
    <sheet name="Sheet3" sheetId="6" r:id="rId2"/>
    <sheet name="DaaS" sheetId="5" r:id="rId3"/>
    <sheet name="research" sheetId="4" r:id="rId4"/>
    <sheet name="comps" sheetId="2" r:id="rId5"/>
    <sheet name="Reverse DCF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5" i="6" l="1"/>
  <c r="G8" i="6"/>
  <c r="F8" i="6"/>
  <c r="F9" i="6" s="1"/>
  <c r="F26" i="3"/>
  <c r="C42" i="3"/>
  <c r="C41" i="3"/>
  <c r="C37" i="3"/>
  <c r="C40" i="3" s="1"/>
  <c r="E14" i="3"/>
  <c r="F14" i="3"/>
  <c r="D14" i="3"/>
  <c r="E11" i="3"/>
  <c r="E18" i="3" s="1"/>
  <c r="F11" i="3"/>
  <c r="D11" i="3"/>
  <c r="E36" i="1"/>
  <c r="F36" i="1"/>
  <c r="F37" i="1" s="1"/>
  <c r="G36" i="1"/>
  <c r="G37" i="1" s="1"/>
  <c r="H36" i="1"/>
  <c r="H37" i="1" s="1"/>
  <c r="I36" i="1"/>
  <c r="I37" i="1" s="1"/>
  <c r="J36" i="1"/>
  <c r="J37" i="1" s="1"/>
  <c r="K36" i="1"/>
  <c r="K37" i="1" s="1"/>
  <c r="L36" i="1"/>
  <c r="L37" i="1" s="1"/>
  <c r="M36" i="1"/>
  <c r="N36" i="1"/>
  <c r="O36" i="1"/>
  <c r="O37" i="1" s="1"/>
  <c r="P36" i="1"/>
  <c r="P37" i="1" s="1"/>
  <c r="E37" i="1"/>
  <c r="M37" i="1"/>
  <c r="N37" i="1"/>
  <c r="D36" i="1"/>
  <c r="D37" i="1" s="1"/>
  <c r="Y58" i="1"/>
  <c r="X58" i="1"/>
  <c r="W58" i="1"/>
  <c r="V58" i="1"/>
  <c r="W56" i="1"/>
  <c r="V56" i="1"/>
  <c r="I61" i="1"/>
  <c r="J61" i="1"/>
  <c r="K61" i="1"/>
  <c r="M61" i="1"/>
  <c r="N61" i="1"/>
  <c r="O61" i="1"/>
  <c r="H61" i="1"/>
  <c r="M48" i="1"/>
  <c r="O44" i="1"/>
  <c r="P43" i="1"/>
  <c r="P51" i="1"/>
  <c r="P52" i="1"/>
  <c r="L52" i="1"/>
  <c r="Q27" i="1"/>
  <c r="R27" i="1"/>
  <c r="S27" i="1"/>
  <c r="E25" i="1"/>
  <c r="F25" i="1"/>
  <c r="G25" i="1"/>
  <c r="H25" i="1"/>
  <c r="I25" i="1"/>
  <c r="J25" i="1"/>
  <c r="K25" i="1"/>
  <c r="L25" i="1"/>
  <c r="M25" i="1"/>
  <c r="N25" i="1"/>
  <c r="O25" i="1"/>
  <c r="P25" i="1"/>
  <c r="E26" i="1"/>
  <c r="F26" i="1"/>
  <c r="G26" i="1"/>
  <c r="H26" i="1"/>
  <c r="I26" i="1"/>
  <c r="J26" i="1"/>
  <c r="K26" i="1"/>
  <c r="L26" i="1"/>
  <c r="M26" i="1"/>
  <c r="N26" i="1"/>
  <c r="O26" i="1"/>
  <c r="P26" i="1"/>
  <c r="Y26" i="1" s="1"/>
  <c r="D26" i="1"/>
  <c r="D25" i="1"/>
  <c r="P176" i="1"/>
  <c r="P173" i="1"/>
  <c r="L169" i="1"/>
  <c r="P169" i="1"/>
  <c r="H24" i="5"/>
  <c r="H25" i="5"/>
  <c r="H23" i="5"/>
  <c r="G27" i="5"/>
  <c r="H28" i="5"/>
  <c r="H29" i="5"/>
  <c r="H30" i="5"/>
  <c r="H27" i="5"/>
  <c r="Q156" i="1"/>
  <c r="Q158" i="1"/>
  <c r="Q155" i="1" s="1"/>
  <c r="Q154" i="1" s="1"/>
  <c r="R155" i="1"/>
  <c r="R154" i="1" s="1"/>
  <c r="S155" i="1"/>
  <c r="S154" i="1" s="1"/>
  <c r="I19" i="5"/>
  <c r="I20" i="5"/>
  <c r="I21" i="5"/>
  <c r="I22" i="5"/>
  <c r="I23" i="5"/>
  <c r="I24" i="5"/>
  <c r="I25" i="5"/>
  <c r="I18" i="5"/>
  <c r="W154" i="1"/>
  <c r="X154" i="1"/>
  <c r="E26" i="5"/>
  <c r="E27" i="5"/>
  <c r="E28" i="5"/>
  <c r="E29" i="5"/>
  <c r="E25" i="5"/>
  <c r="G29" i="5"/>
  <c r="G24" i="5"/>
  <c r="G25" i="5"/>
  <c r="G23" i="5"/>
  <c r="G22" i="5"/>
  <c r="G20" i="5"/>
  <c r="G18" i="5"/>
  <c r="G16" i="5"/>
  <c r="F20" i="5"/>
  <c r="F18" i="5"/>
  <c r="F16" i="5"/>
  <c r="F8" i="5"/>
  <c r="C6" i="5"/>
  <c r="D6" i="5" s="1"/>
  <c r="B6" i="5" s="1"/>
  <c r="C5" i="5"/>
  <c r="B5" i="5" s="1"/>
  <c r="R109" i="1"/>
  <c r="S109" i="1" s="1"/>
  <c r="R108" i="1"/>
  <c r="E18" i="1"/>
  <c r="F18" i="1"/>
  <c r="G18" i="1"/>
  <c r="H18" i="1"/>
  <c r="I18" i="1"/>
  <c r="J18" i="1"/>
  <c r="K18" i="1"/>
  <c r="L18" i="1"/>
  <c r="M18" i="1"/>
  <c r="N18" i="1"/>
  <c r="O18" i="1"/>
  <c r="P18" i="1"/>
  <c r="D18" i="1"/>
  <c r="R124" i="1"/>
  <c r="R125" i="1"/>
  <c r="S125" i="1" s="1"/>
  <c r="E17" i="1"/>
  <c r="F17" i="1"/>
  <c r="G17" i="1"/>
  <c r="H17" i="1"/>
  <c r="I17" i="1"/>
  <c r="J17" i="1"/>
  <c r="K17" i="1"/>
  <c r="L17" i="1"/>
  <c r="M17" i="1"/>
  <c r="N17" i="1"/>
  <c r="O17" i="1"/>
  <c r="P17" i="1"/>
  <c r="D17" i="1"/>
  <c r="Q138" i="1"/>
  <c r="R141" i="1"/>
  <c r="S141" i="1" s="1"/>
  <c r="R140" i="1"/>
  <c r="S140" i="1" s="1"/>
  <c r="R139" i="1"/>
  <c r="S139" i="1" s="1"/>
  <c r="R147" i="1"/>
  <c r="S147" i="1" s="1"/>
  <c r="R146" i="1"/>
  <c r="S146" i="1" s="1"/>
  <c r="R145" i="1"/>
  <c r="S145" i="1" s="1"/>
  <c r="Q106" i="1"/>
  <c r="Q122" i="1"/>
  <c r="R107" i="1"/>
  <c r="S107" i="1" s="1"/>
  <c r="R115" i="1"/>
  <c r="S115" i="1" s="1"/>
  <c r="R114" i="1"/>
  <c r="S114" i="1" s="1"/>
  <c r="R113" i="1"/>
  <c r="S113" i="1" s="1"/>
  <c r="R131" i="1"/>
  <c r="S131" i="1" s="1"/>
  <c r="R130" i="1"/>
  <c r="S130" i="1" s="1"/>
  <c r="R129" i="1"/>
  <c r="S129" i="1" s="1"/>
  <c r="R123" i="1"/>
  <c r="S123" i="1" s="1"/>
  <c r="E95" i="1"/>
  <c r="F95" i="1"/>
  <c r="G95" i="1"/>
  <c r="H95" i="1"/>
  <c r="I95" i="1"/>
  <c r="J95" i="1"/>
  <c r="K95" i="1"/>
  <c r="L95" i="1"/>
  <c r="M95" i="1"/>
  <c r="N95" i="1"/>
  <c r="O95" i="1"/>
  <c r="P95" i="1"/>
  <c r="Q95" i="1" s="1"/>
  <c r="D95" i="1"/>
  <c r="X102" i="1"/>
  <c r="W102" i="1"/>
  <c r="X92" i="1"/>
  <c r="W92" i="1"/>
  <c r="V92" i="1"/>
  <c r="X89" i="1"/>
  <c r="X133" i="1" s="1"/>
  <c r="W89" i="1"/>
  <c r="W133" i="1" s="1"/>
  <c r="V89" i="1"/>
  <c r="V117" i="1" s="1"/>
  <c r="V102" i="1"/>
  <c r="Q150" i="1"/>
  <c r="Q13" i="1" s="1"/>
  <c r="E153" i="1"/>
  <c r="F153" i="1"/>
  <c r="G153" i="1"/>
  <c r="H153" i="1"/>
  <c r="I153" i="1"/>
  <c r="J153" i="1"/>
  <c r="K153" i="1"/>
  <c r="L153" i="1"/>
  <c r="M153" i="1"/>
  <c r="N153" i="1"/>
  <c r="O153" i="1"/>
  <c r="P153" i="1"/>
  <c r="D153" i="1"/>
  <c r="R162" i="1"/>
  <c r="R163" i="1" s="1"/>
  <c r="S162" i="1"/>
  <c r="S163" i="1" s="1"/>
  <c r="Q162" i="1"/>
  <c r="Q163" i="1" s="1"/>
  <c r="I163" i="1"/>
  <c r="J163" i="1"/>
  <c r="K163" i="1"/>
  <c r="L163" i="1"/>
  <c r="M163" i="1"/>
  <c r="N163" i="1"/>
  <c r="O163" i="1"/>
  <c r="P163" i="1"/>
  <c r="H163" i="1"/>
  <c r="R98" i="1"/>
  <c r="S98" i="1" s="1"/>
  <c r="R99" i="1"/>
  <c r="S99" i="1" s="1"/>
  <c r="R97" i="1"/>
  <c r="S97" i="1" s="1"/>
  <c r="V20" i="1"/>
  <c r="E12" i="1"/>
  <c r="F12" i="1"/>
  <c r="E13" i="1"/>
  <c r="F13" i="1"/>
  <c r="D13" i="1"/>
  <c r="D12" i="1"/>
  <c r="G12" i="1"/>
  <c r="H12" i="1"/>
  <c r="I12" i="1"/>
  <c r="J12" i="1"/>
  <c r="K12" i="1"/>
  <c r="L12" i="1"/>
  <c r="L44" i="1" s="1"/>
  <c r="M12" i="1"/>
  <c r="M46" i="1" s="1"/>
  <c r="N12" i="1"/>
  <c r="N46" i="1" s="1"/>
  <c r="O12" i="1"/>
  <c r="O46" i="1" s="1"/>
  <c r="P12" i="1"/>
  <c r="P44" i="1" s="1"/>
  <c r="G13" i="1"/>
  <c r="H13" i="1"/>
  <c r="I13" i="1"/>
  <c r="J13" i="1"/>
  <c r="K13" i="1"/>
  <c r="L13" i="1"/>
  <c r="M13" i="1"/>
  <c r="N13" i="1"/>
  <c r="O13" i="1"/>
  <c r="P13" i="1"/>
  <c r="P93" i="1"/>
  <c r="O93" i="1"/>
  <c r="N93" i="1"/>
  <c r="M93" i="1"/>
  <c r="L93" i="1"/>
  <c r="K93" i="1"/>
  <c r="J93" i="1"/>
  <c r="I93" i="1"/>
  <c r="H93" i="1"/>
  <c r="I155" i="1"/>
  <c r="J155" i="1"/>
  <c r="K155" i="1"/>
  <c r="L155" i="1"/>
  <c r="M155" i="1"/>
  <c r="N155" i="1"/>
  <c r="O155" i="1"/>
  <c r="P155" i="1"/>
  <c r="H155" i="1"/>
  <c r="I151" i="1"/>
  <c r="J151" i="1"/>
  <c r="K151" i="1"/>
  <c r="L151" i="1"/>
  <c r="M151" i="1"/>
  <c r="N151" i="1"/>
  <c r="O151" i="1"/>
  <c r="P151" i="1"/>
  <c r="H151" i="1"/>
  <c r="H90" i="1"/>
  <c r="I90" i="1"/>
  <c r="J90" i="1"/>
  <c r="E4" i="1"/>
  <c r="F4" i="1" s="1"/>
  <c r="G4" i="1" s="1"/>
  <c r="G6" i="1" s="1"/>
  <c r="K90" i="1"/>
  <c r="L90" i="1"/>
  <c r="M90" i="1"/>
  <c r="N90" i="1"/>
  <c r="O90" i="1"/>
  <c r="P90" i="1"/>
  <c r="C43" i="3" l="1"/>
  <c r="F18" i="3"/>
  <c r="F19" i="3" s="1"/>
  <c r="D18" i="3"/>
  <c r="E19" i="3" s="1"/>
  <c r="F15" i="3"/>
  <c r="E15" i="3"/>
  <c r="N48" i="1"/>
  <c r="L48" i="1"/>
  <c r="P48" i="1"/>
  <c r="O48" i="1"/>
  <c r="P46" i="1"/>
  <c r="N44" i="1"/>
  <c r="L46" i="1"/>
  <c r="M44" i="1"/>
  <c r="W93" i="1"/>
  <c r="X93" i="1"/>
  <c r="W90" i="1"/>
  <c r="X90" i="1"/>
  <c r="X26" i="1"/>
  <c r="S138" i="1"/>
  <c r="V25" i="1"/>
  <c r="V26" i="1"/>
  <c r="W26" i="1"/>
  <c r="X25" i="1"/>
  <c r="H27" i="1"/>
  <c r="W25" i="1"/>
  <c r="O27" i="1"/>
  <c r="G27" i="1"/>
  <c r="P27" i="1"/>
  <c r="Y27" i="1" s="1"/>
  <c r="D27" i="1"/>
  <c r="N27" i="1"/>
  <c r="F27" i="1"/>
  <c r="Y25" i="1"/>
  <c r="E27" i="1"/>
  <c r="M27" i="1"/>
  <c r="L27" i="1"/>
  <c r="K27" i="1"/>
  <c r="J27" i="1"/>
  <c r="I27" i="1"/>
  <c r="P170" i="1"/>
  <c r="R122" i="1"/>
  <c r="X155" i="1"/>
  <c r="F14" i="1"/>
  <c r="F59" i="1" s="1"/>
  <c r="N14" i="1"/>
  <c r="N59" i="1" s="1"/>
  <c r="V154" i="1"/>
  <c r="W155" i="1" s="1"/>
  <c r="M14" i="1"/>
  <c r="M59" i="1" s="1"/>
  <c r="E14" i="1"/>
  <c r="E59" i="1" s="1"/>
  <c r="D14" i="1"/>
  <c r="Q18" i="1"/>
  <c r="Y154" i="1"/>
  <c r="Y155" i="1" s="1"/>
  <c r="Q153" i="1"/>
  <c r="X18" i="1"/>
  <c r="S124" i="1"/>
  <c r="C7" i="5"/>
  <c r="D7" i="5" s="1"/>
  <c r="O14" i="1"/>
  <c r="O59" i="1" s="1"/>
  <c r="S108" i="1"/>
  <c r="S106" i="1" s="1"/>
  <c r="W18" i="1"/>
  <c r="L14" i="1"/>
  <c r="V18" i="1"/>
  <c r="R138" i="1"/>
  <c r="J14" i="1"/>
  <c r="J59" i="1" s="1"/>
  <c r="G14" i="1"/>
  <c r="G59" i="1" s="1"/>
  <c r="K14" i="1"/>
  <c r="K59" i="1" s="1"/>
  <c r="I14" i="1"/>
  <c r="I59" i="1" s="1"/>
  <c r="W17" i="1"/>
  <c r="P14" i="1"/>
  <c r="Q17" i="1"/>
  <c r="S17" i="1"/>
  <c r="R17" i="1"/>
  <c r="H14" i="1"/>
  <c r="X17" i="1"/>
  <c r="V17" i="1"/>
  <c r="R106" i="1"/>
  <c r="X101" i="1"/>
  <c r="V101" i="1"/>
  <c r="V133" i="1"/>
  <c r="S122" i="1"/>
  <c r="X117" i="1"/>
  <c r="W101" i="1"/>
  <c r="W117" i="1"/>
  <c r="R95" i="1"/>
  <c r="S95" i="1" s="1"/>
  <c r="V13" i="1"/>
  <c r="J96" i="1"/>
  <c r="Q96" i="1"/>
  <c r="V12" i="1"/>
  <c r="W12" i="1"/>
  <c r="W13" i="1"/>
  <c r="X13" i="1"/>
  <c r="X12" i="1"/>
  <c r="M96" i="1"/>
  <c r="O96" i="1"/>
  <c r="E6" i="1"/>
  <c r="M11" i="1"/>
  <c r="I11" i="1"/>
  <c r="I57" i="1" s="1"/>
  <c r="L96" i="1"/>
  <c r="K96" i="1"/>
  <c r="K11" i="1"/>
  <c r="K57" i="1" s="1"/>
  <c r="O11" i="1"/>
  <c r="G11" i="1"/>
  <c r="G57" i="1" s="1"/>
  <c r="F6" i="1"/>
  <c r="H96" i="1"/>
  <c r="E11" i="1"/>
  <c r="E57" i="1" s="1"/>
  <c r="Q151" i="1"/>
  <c r="L11" i="1"/>
  <c r="L30" i="1" s="1"/>
  <c r="L56" i="1" s="1"/>
  <c r="L57" i="1" s="1"/>
  <c r="H11" i="1"/>
  <c r="D11" i="1"/>
  <c r="N11" i="1"/>
  <c r="J11" i="1"/>
  <c r="J57" i="1" s="1"/>
  <c r="F11" i="1"/>
  <c r="F57" i="1" s="1"/>
  <c r="P11" i="1"/>
  <c r="P30" i="1" s="1"/>
  <c r="P56" i="1" s="1"/>
  <c r="R150" i="1"/>
  <c r="S150" i="1" s="1"/>
  <c r="N96" i="1"/>
  <c r="P96" i="1"/>
  <c r="I96" i="1"/>
  <c r="H4" i="1"/>
  <c r="V4" i="1"/>
  <c r="H30" i="1" l="1"/>
  <c r="H57" i="1"/>
  <c r="H33" i="1"/>
  <c r="H59" i="1"/>
  <c r="L41" i="1"/>
  <c r="D33" i="1"/>
  <c r="D34" i="1" s="1"/>
  <c r="D59" i="1"/>
  <c r="Y56" i="1"/>
  <c r="P57" i="1"/>
  <c r="P41" i="1"/>
  <c r="D30" i="1"/>
  <c r="D31" i="1" s="1"/>
  <c r="D57" i="1"/>
  <c r="P33" i="1"/>
  <c r="P34" i="1" s="1"/>
  <c r="P59" i="1"/>
  <c r="L33" i="1"/>
  <c r="L34" i="1" s="1"/>
  <c r="L59" i="1"/>
  <c r="K33" i="1"/>
  <c r="K34" i="1" s="1"/>
  <c r="E33" i="1"/>
  <c r="E34" i="1" s="1"/>
  <c r="M33" i="1"/>
  <c r="F30" i="1"/>
  <c r="F31" i="1" s="1"/>
  <c r="M30" i="1"/>
  <c r="O33" i="1"/>
  <c r="O34" i="1" s="1"/>
  <c r="E30" i="1"/>
  <c r="E31" i="1" s="1"/>
  <c r="I30" i="1"/>
  <c r="G33" i="1"/>
  <c r="G34" i="1" s="1"/>
  <c r="J33" i="1"/>
  <c r="J34" i="1" s="1"/>
  <c r="J30" i="1"/>
  <c r="J31" i="1" s="1"/>
  <c r="N33" i="1"/>
  <c r="N34" i="1" s="1"/>
  <c r="F33" i="1"/>
  <c r="F34" i="1" s="1"/>
  <c r="I33" i="1"/>
  <c r="W33" i="1" s="1"/>
  <c r="N30" i="1"/>
  <c r="G30" i="1"/>
  <c r="O30" i="1"/>
  <c r="K30" i="1"/>
  <c r="K31" i="1" s="1"/>
  <c r="P31" i="1"/>
  <c r="L31" i="1"/>
  <c r="H34" i="1"/>
  <c r="V27" i="1"/>
  <c r="X27" i="1"/>
  <c r="H31" i="1"/>
  <c r="W27" i="1"/>
  <c r="F19" i="1"/>
  <c r="N19" i="1"/>
  <c r="Q14" i="1"/>
  <c r="E19" i="1"/>
  <c r="V14" i="1"/>
  <c r="V59" i="1" s="1"/>
  <c r="M19" i="1"/>
  <c r="W4" i="1"/>
  <c r="V6" i="1"/>
  <c r="K19" i="1"/>
  <c r="J19" i="1"/>
  <c r="O19" i="1"/>
  <c r="X14" i="1"/>
  <c r="X59" i="1" s="1"/>
  <c r="L19" i="1"/>
  <c r="L60" i="1" s="1"/>
  <c r="L61" i="1" s="1"/>
  <c r="B7" i="5"/>
  <c r="C8" i="5"/>
  <c r="D8" i="5" s="1"/>
  <c r="I19" i="1"/>
  <c r="W14" i="1"/>
  <c r="W59" i="1" s="1"/>
  <c r="Y17" i="1"/>
  <c r="O102" i="1"/>
  <c r="N102" i="1"/>
  <c r="F105" i="1"/>
  <c r="E137" i="1"/>
  <c r="M137" i="1"/>
  <c r="Q137" i="1" s="1"/>
  <c r="D137" i="1"/>
  <c r="D134" i="1"/>
  <c r="F137" i="1"/>
  <c r="N137" i="1"/>
  <c r="R137" i="1" s="1"/>
  <c r="G137" i="1"/>
  <c r="H137" i="1"/>
  <c r="I137" i="1"/>
  <c r="J137" i="1"/>
  <c r="K137" i="1"/>
  <c r="L137" i="1"/>
  <c r="O137" i="1"/>
  <c r="P137" i="1"/>
  <c r="E134" i="1"/>
  <c r="M134" i="1"/>
  <c r="N134" i="1"/>
  <c r="O134" i="1"/>
  <c r="P134" i="1"/>
  <c r="F134" i="1"/>
  <c r="G134" i="1"/>
  <c r="H134" i="1"/>
  <c r="I134" i="1"/>
  <c r="J134" i="1"/>
  <c r="K134" i="1"/>
  <c r="L134" i="1"/>
  <c r="O105" i="1"/>
  <c r="H121" i="1"/>
  <c r="K105" i="1"/>
  <c r="L118" i="1"/>
  <c r="E121" i="1"/>
  <c r="D102" i="1"/>
  <c r="R96" i="1"/>
  <c r="F118" i="1"/>
  <c r="L102" i="1"/>
  <c r="S13" i="1"/>
  <c r="S151" i="1"/>
  <c r="P121" i="1"/>
  <c r="M121" i="1"/>
  <c r="F121" i="1"/>
  <c r="J105" i="1"/>
  <c r="F102" i="1"/>
  <c r="G102" i="1"/>
  <c r="G118" i="1"/>
  <c r="N121" i="1"/>
  <c r="K121" i="1"/>
  <c r="K102" i="1"/>
  <c r="L105" i="1"/>
  <c r="M105" i="1"/>
  <c r="J118" i="1"/>
  <c r="I121" i="1"/>
  <c r="D121" i="1"/>
  <c r="K118" i="1"/>
  <c r="O118" i="1"/>
  <c r="E118" i="1"/>
  <c r="D105" i="1"/>
  <c r="E105" i="1"/>
  <c r="M102" i="1"/>
  <c r="N118" i="1"/>
  <c r="P118" i="1"/>
  <c r="O121" i="1"/>
  <c r="J121" i="1"/>
  <c r="I105" i="1"/>
  <c r="P105" i="1"/>
  <c r="H102" i="1"/>
  <c r="E102" i="1"/>
  <c r="H118" i="1"/>
  <c r="I102" i="1"/>
  <c r="G121" i="1"/>
  <c r="M118" i="1"/>
  <c r="J102" i="1"/>
  <c r="P102" i="1"/>
  <c r="I118" i="1"/>
  <c r="D118" i="1"/>
  <c r="L121" i="1"/>
  <c r="G105" i="1"/>
  <c r="H105" i="1"/>
  <c r="N105" i="1"/>
  <c r="S96" i="1"/>
  <c r="V11" i="1"/>
  <c r="V57" i="1" s="1"/>
  <c r="P19" i="1"/>
  <c r="P60" i="1" s="1"/>
  <c r="P61" i="1" s="1"/>
  <c r="D19" i="1"/>
  <c r="R13" i="1"/>
  <c r="R151" i="1"/>
  <c r="W11" i="1"/>
  <c r="W57" i="1" s="1"/>
  <c r="X11" i="1"/>
  <c r="G19" i="1"/>
  <c r="H19" i="1"/>
  <c r="H6" i="1"/>
  <c r="I4" i="1"/>
  <c r="Q33" i="1" l="1"/>
  <c r="Q59" i="1"/>
  <c r="N31" i="1"/>
  <c r="N56" i="1"/>
  <c r="N57" i="1" s="1"/>
  <c r="M31" i="1"/>
  <c r="M56" i="1"/>
  <c r="M57" i="1" s="1"/>
  <c r="O31" i="1"/>
  <c r="O56" i="1"/>
  <c r="O57" i="1" s="1"/>
  <c r="W30" i="1"/>
  <c r="W31" i="1" s="1"/>
  <c r="V30" i="1"/>
  <c r="V31" i="1" s="1"/>
  <c r="V33" i="1"/>
  <c r="V34" i="1" s="1"/>
  <c r="X33" i="1"/>
  <c r="X34" i="1" s="1"/>
  <c r="W34" i="1"/>
  <c r="G31" i="1"/>
  <c r="I31" i="1"/>
  <c r="M34" i="1"/>
  <c r="I34" i="1"/>
  <c r="X30" i="1"/>
  <c r="X31" i="1" s="1"/>
  <c r="Q15" i="1"/>
  <c r="P143" i="1"/>
  <c r="Q143" i="1" s="1"/>
  <c r="R143" i="1" s="1"/>
  <c r="S143" i="1" s="1"/>
  <c r="N143" i="1"/>
  <c r="N20" i="1"/>
  <c r="P106" i="1"/>
  <c r="M20" i="1"/>
  <c r="J20" i="1"/>
  <c r="I20" i="1"/>
  <c r="L143" i="1"/>
  <c r="O143" i="1"/>
  <c r="K143" i="1"/>
  <c r="G143" i="1"/>
  <c r="M143" i="1"/>
  <c r="J143" i="1"/>
  <c r="I143" i="1"/>
  <c r="E143" i="1"/>
  <c r="H143" i="1"/>
  <c r="F143" i="1"/>
  <c r="D143" i="1"/>
  <c r="H103" i="1"/>
  <c r="X19" i="1"/>
  <c r="O20" i="1"/>
  <c r="X4" i="1"/>
  <c r="W6" i="1"/>
  <c r="C9" i="5"/>
  <c r="D9" i="5" s="1"/>
  <c r="B8" i="5"/>
  <c r="J106" i="1"/>
  <c r="O103" i="1"/>
  <c r="O138" i="1"/>
  <c r="S137" i="1"/>
  <c r="L103" i="1"/>
  <c r="O111" i="1"/>
  <c r="L138" i="1"/>
  <c r="F111" i="1"/>
  <c r="K138" i="1"/>
  <c r="P138" i="1"/>
  <c r="P135" i="1"/>
  <c r="H122" i="1"/>
  <c r="K135" i="1"/>
  <c r="M138" i="1"/>
  <c r="I138" i="1"/>
  <c r="M135" i="1"/>
  <c r="H135" i="1"/>
  <c r="D127" i="1"/>
  <c r="L135" i="1"/>
  <c r="O135" i="1"/>
  <c r="N138" i="1"/>
  <c r="J138" i="1"/>
  <c r="N135" i="1"/>
  <c r="J135" i="1"/>
  <c r="H138" i="1"/>
  <c r="I135" i="1"/>
  <c r="M103" i="1"/>
  <c r="L106" i="1"/>
  <c r="L122" i="1"/>
  <c r="P111" i="1"/>
  <c r="Q111" i="1" s="1"/>
  <c r="P103" i="1"/>
  <c r="J103" i="1"/>
  <c r="K103" i="1"/>
  <c r="I103" i="1"/>
  <c r="N103" i="1"/>
  <c r="Q105" i="1"/>
  <c r="M106" i="1"/>
  <c r="K106" i="1"/>
  <c r="N119" i="1"/>
  <c r="I106" i="1"/>
  <c r="N111" i="1"/>
  <c r="R105" i="1"/>
  <c r="N106" i="1"/>
  <c r="H106" i="1"/>
  <c r="I122" i="1"/>
  <c r="O106" i="1"/>
  <c r="S105" i="1"/>
  <c r="D111" i="1"/>
  <c r="E127" i="1"/>
  <c r="J119" i="1"/>
  <c r="P119" i="1"/>
  <c r="K111" i="1"/>
  <c r="K119" i="1"/>
  <c r="O119" i="1"/>
  <c r="I119" i="1"/>
  <c r="H127" i="1"/>
  <c r="H119" i="1"/>
  <c r="M119" i="1"/>
  <c r="L119" i="1"/>
  <c r="I127" i="1"/>
  <c r="P127" i="1"/>
  <c r="Q127" i="1" s="1"/>
  <c r="L111" i="1"/>
  <c r="F127" i="1"/>
  <c r="E111" i="1"/>
  <c r="K122" i="1"/>
  <c r="G127" i="1"/>
  <c r="N127" i="1"/>
  <c r="K127" i="1"/>
  <c r="H111" i="1"/>
  <c r="G111" i="1"/>
  <c r="J127" i="1"/>
  <c r="O122" i="1"/>
  <c r="S121" i="1"/>
  <c r="M122" i="1"/>
  <c r="Q121" i="1"/>
  <c r="O127" i="1"/>
  <c r="O128" i="1" s="1"/>
  <c r="P122" i="1"/>
  <c r="J111" i="1"/>
  <c r="M127" i="1"/>
  <c r="N122" i="1"/>
  <c r="R121" i="1"/>
  <c r="M111" i="1"/>
  <c r="I111" i="1"/>
  <c r="J122" i="1"/>
  <c r="L127" i="1"/>
  <c r="P20" i="1"/>
  <c r="Y13" i="1"/>
  <c r="L20" i="1"/>
  <c r="W19" i="1"/>
  <c r="V19" i="1"/>
  <c r="H20" i="1"/>
  <c r="K20" i="1"/>
  <c r="J4" i="1"/>
  <c r="I6" i="1"/>
  <c r="X56" i="1" l="1"/>
  <c r="X57" i="1" s="1"/>
  <c r="V29" i="1"/>
  <c r="V37" i="1" s="1"/>
  <c r="Q34" i="1"/>
  <c r="W29" i="1"/>
  <c r="W37" i="1" s="1"/>
  <c r="X29" i="1"/>
  <c r="X37" i="1" s="1"/>
  <c r="J128" i="1"/>
  <c r="W20" i="1"/>
  <c r="Y4" i="1"/>
  <c r="Y6" i="1" s="1"/>
  <c r="X6" i="1"/>
  <c r="C10" i="5"/>
  <c r="D10" i="5" s="1"/>
  <c r="B9" i="5"/>
  <c r="J112" i="1"/>
  <c r="O144" i="1"/>
  <c r="M144" i="1"/>
  <c r="K144" i="1"/>
  <c r="L144" i="1"/>
  <c r="J144" i="1"/>
  <c r="I144" i="1"/>
  <c r="P144" i="1"/>
  <c r="O112" i="1"/>
  <c r="N144" i="1"/>
  <c r="R92" i="1"/>
  <c r="S92" i="1"/>
  <c r="Q102" i="1"/>
  <c r="Q92" i="1"/>
  <c r="Q93" i="1" s="1"/>
  <c r="H112" i="1"/>
  <c r="I128" i="1"/>
  <c r="L112" i="1"/>
  <c r="H128" i="1"/>
  <c r="K112" i="1"/>
  <c r="K128" i="1"/>
  <c r="L128" i="1"/>
  <c r="P112" i="1"/>
  <c r="Q112" i="1"/>
  <c r="R111" i="1"/>
  <c r="R102" i="1" s="1"/>
  <c r="I112" i="1"/>
  <c r="N128" i="1"/>
  <c r="M112" i="1"/>
  <c r="N112" i="1"/>
  <c r="Q118" i="1"/>
  <c r="Q119" i="1" s="1"/>
  <c r="P128" i="1"/>
  <c r="M128" i="1"/>
  <c r="X20" i="1"/>
  <c r="K4" i="1"/>
  <c r="J6" i="1"/>
  <c r="C11" i="5" l="1"/>
  <c r="D11" i="5" s="1"/>
  <c r="B10" i="5"/>
  <c r="S93" i="1"/>
  <c r="Q103" i="1"/>
  <c r="R93" i="1"/>
  <c r="R103" i="1"/>
  <c r="Q144" i="1"/>
  <c r="Q134" i="1"/>
  <c r="Q135" i="1" s="1"/>
  <c r="S111" i="1"/>
  <c r="S102" i="1" s="1"/>
  <c r="R112" i="1"/>
  <c r="Q128" i="1"/>
  <c r="R127" i="1"/>
  <c r="K6" i="1"/>
  <c r="L4" i="1"/>
  <c r="C12" i="5" l="1"/>
  <c r="D12" i="5" s="1"/>
  <c r="B11" i="5"/>
  <c r="S103" i="1"/>
  <c r="Q89" i="1"/>
  <c r="Q90" i="1" s="1"/>
  <c r="R144" i="1"/>
  <c r="R134" i="1"/>
  <c r="R135" i="1" s="1"/>
  <c r="S112" i="1"/>
  <c r="S127" i="1"/>
  <c r="R128" i="1"/>
  <c r="R118" i="1"/>
  <c r="M4" i="1"/>
  <c r="L6" i="1"/>
  <c r="C13" i="5" l="1"/>
  <c r="D13" i="5" s="1"/>
  <c r="B12" i="5"/>
  <c r="R119" i="1"/>
  <c r="R89" i="1"/>
  <c r="S144" i="1"/>
  <c r="S134" i="1"/>
  <c r="S135" i="1" s="1"/>
  <c r="S128" i="1"/>
  <c r="S118" i="1"/>
  <c r="M6" i="1"/>
  <c r="N4" i="1"/>
  <c r="O4" i="1" s="1"/>
  <c r="P4" i="1" s="1"/>
  <c r="Q4" i="1" s="1"/>
  <c r="R4" i="1" s="1"/>
  <c r="S4" i="1" s="1"/>
  <c r="S6" i="1" s="1"/>
  <c r="C14" i="5" l="1"/>
  <c r="D14" i="5" s="1"/>
  <c r="B13" i="5"/>
  <c r="S119" i="1"/>
  <c r="S89" i="1"/>
  <c r="R90" i="1"/>
  <c r="R12" i="1"/>
  <c r="R11" i="1" s="1"/>
  <c r="R57" i="1" s="1"/>
  <c r="N6" i="1"/>
  <c r="R30" i="1" l="1"/>
  <c r="R31" i="1" s="1"/>
  <c r="C15" i="5"/>
  <c r="D15" i="5" s="1"/>
  <c r="B14" i="5"/>
  <c r="S90" i="1"/>
  <c r="S12" i="1"/>
  <c r="S11" i="1" s="1"/>
  <c r="S57" i="1" s="1"/>
  <c r="O6" i="1"/>
  <c r="S30" i="1" l="1"/>
  <c r="S31" i="1" s="1"/>
  <c r="C16" i="5"/>
  <c r="D16" i="5" s="1"/>
  <c r="B15" i="5"/>
  <c r="P6" i="1"/>
  <c r="C17" i="5" l="1"/>
  <c r="D17" i="5" s="1"/>
  <c r="B16" i="5"/>
  <c r="R6" i="1"/>
  <c r="Q6" i="1"/>
  <c r="C18" i="5" l="1"/>
  <c r="D18" i="5" s="1"/>
  <c r="B17" i="5"/>
  <c r="C19" i="5" l="1"/>
  <c r="D19" i="5" s="1"/>
  <c r="B18" i="5"/>
  <c r="C20" i="5" l="1"/>
  <c r="D20" i="5" s="1"/>
  <c r="B19" i="5"/>
  <c r="C21" i="5" l="1"/>
  <c r="D21" i="5" s="1"/>
  <c r="B20" i="5"/>
  <c r="C22" i="5" l="1"/>
  <c r="B21" i="5"/>
  <c r="D22" i="5" l="1"/>
  <c r="B22" i="5" s="1"/>
  <c r="Q12" i="1" l="1"/>
  <c r="Y92" i="1"/>
  <c r="Y93" i="1" s="1"/>
  <c r="Y89" i="1" l="1"/>
  <c r="Y101" i="1" l="1"/>
  <c r="Y90" i="1"/>
  <c r="Y12" i="1"/>
  <c r="Q11" i="1"/>
  <c r="Q30" i="1" l="1"/>
  <c r="Q36" i="1" s="1"/>
  <c r="Q57" i="1"/>
  <c r="Y11" i="1"/>
  <c r="Y57" i="1" s="1"/>
  <c r="Q19" i="1"/>
  <c r="Y30" i="1" l="1"/>
  <c r="Y31" i="1" s="1"/>
  <c r="Q31" i="1"/>
  <c r="Q37" i="1"/>
  <c r="Q20" i="1"/>
  <c r="S18" i="1"/>
  <c r="S14" i="1" s="1"/>
  <c r="S59" i="1" s="1"/>
  <c r="R18" i="1"/>
  <c r="R14" i="1" s="1"/>
  <c r="R153" i="1"/>
  <c r="S153" i="1"/>
  <c r="R33" i="1" l="1"/>
  <c r="R36" i="1" s="1"/>
  <c r="R59" i="1"/>
  <c r="S33" i="1"/>
  <c r="R15" i="1"/>
  <c r="S19" i="1"/>
  <c r="S15" i="1"/>
  <c r="Y14" i="1"/>
  <c r="Y59" i="1" s="1"/>
  <c r="R19" i="1"/>
  <c r="Y18" i="1"/>
  <c r="R37" i="1" l="1"/>
  <c r="S34" i="1"/>
  <c r="S36" i="1"/>
  <c r="S37" i="1" s="1"/>
  <c r="R34" i="1"/>
  <c r="Y33" i="1"/>
  <c r="Y34" i="1" s="1"/>
  <c r="R20" i="1"/>
  <c r="S20" i="1"/>
  <c r="Y19" i="1"/>
  <c r="Y20" i="1" l="1"/>
  <c r="Y29" i="1"/>
  <c r="Y3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Sankalp Bhatia</author>
    <author>tc={AFDDAF14-E944-464B-BA83-B66DC3E5755D}</author>
    <author>tc={5DA4F210-7B46-D64D-A690-52616FD46757}</author>
    <author>tc={2268F98B-2208-424E-93E5-6704D131BBD5}</author>
  </authors>
  <commentList>
    <comment ref="Y12" authorId="0" shapeId="0" xr:uid="{9ABF1B96-4309-6A4A-8AF0-79B9F6B5DCEA}">
      <text>
        <r>
          <rPr>
            <b/>
            <sz val="10"/>
            <color rgb="FF000000"/>
            <rFont val="Tahoma"/>
            <family val="2"/>
          </rPr>
          <t>Sankalp Bhatia: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>FY27 guidance mentioned in 27Q1 ET: Cartrack’s subscription revenue between ZAR5,700 million and ZAR6,000 million, which implies subscription revenue growth between 18% and 24%</t>
        </r>
        <r>
          <rPr>
            <sz val="10"/>
            <color rgb="FF000000"/>
            <rFont val="Aptos Narrow"/>
            <scheme val="minor"/>
          </rPr>
          <t xml:space="preserve">
</t>
        </r>
      </text>
    </comment>
    <comment ref="Y30" authorId="0" shapeId="0" xr:uid="{C719F4B9-A69C-A34B-BC1F-719ECA095486}">
      <text>
        <r>
          <rPr>
            <b/>
            <sz val="10"/>
            <color rgb="FF000000"/>
            <rFont val="Tahoma"/>
            <family val="2"/>
          </rPr>
          <t>Sankalp Bhatia: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FY27 guidance mentioned in 27Q1: Cartrack's GPM between 70% and 72%</t>
        </r>
      </text>
    </comment>
    <comment ref="Y57" authorId="0" shapeId="0" xr:uid="{97A2B3AE-723D-EA40-A5D8-A8749B355FDC}">
      <text>
        <r>
          <rPr>
            <b/>
            <sz val="10"/>
            <color rgb="FF000000"/>
            <rFont val="Tahoma"/>
            <family val="2"/>
          </rPr>
          <t>Sankalp Bhatia: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FY27 guidance from 27Q1 ET: Cartrack's OPM between 27% and 30%</t>
        </r>
      </text>
    </comment>
    <comment ref="B101" authorId="1" shapeId="0" xr:uid="{AFDDAF14-E944-464B-BA83-B66DC3E5755D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Includes other-Africa also</t>
      </text>
    </comment>
    <comment ref="P121" authorId="2" shapeId="0" xr:uid="{5DA4F210-7B46-D64D-A690-52616FD46757}">
      <text>
        <t>[Threaded comment]
Your version of Excel allows you to read this threaded comment; however, any edits to it will get removed if the file is opened in a newer version of Excel. Learn more: https://go.microsoft.com/fwlink/?linkid=870924
Comment:
    Fastest growing region in terms of subscribers growth</t>
      </text>
    </comment>
    <comment ref="Q124" authorId="0" shapeId="0" xr:uid="{85DC78E6-0CFC-3D4E-B0E3-2B049483E45E}">
      <text>
        <r>
          <rPr>
            <b/>
            <sz val="10"/>
            <color rgb="FF000000"/>
            <rFont val="Tahoma"/>
            <family val="2"/>
          </rPr>
          <t>Sankalp Bhatia: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Expert Call and management suggested SE Asia as a high growth segment</t>
        </r>
      </text>
    </comment>
    <comment ref="B133" authorId="0" shapeId="0" xr:uid="{B5A0C0CB-3EBE-0441-916E-4FF2DD31FAC1}">
      <text>
        <r>
          <rPr>
            <b/>
            <sz val="10"/>
            <color rgb="FF000000"/>
            <rFont val="Tahoma"/>
            <family val="2"/>
          </rPr>
          <t>Sankalp Bhatia: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Company mentioned to be "evaluating further expansion in Europe in FY26 annual filing"</t>
        </r>
      </text>
    </comment>
    <comment ref="B137" authorId="0" shapeId="0" xr:uid="{4E1E5FAF-7FDA-9041-9BC4-29A57F79A6B4}">
      <text>
        <r>
          <rPr>
            <b/>
            <sz val="10"/>
            <color rgb="FF000000"/>
            <rFont val="Tahoma"/>
            <family val="2"/>
          </rPr>
          <t>Sankalp Bhatia: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Management mentioned to be "evaluating the focus on Europe"</t>
        </r>
      </text>
    </comment>
    <comment ref="B150" authorId="3" shapeId="0" xr:uid="{2268F98B-2208-424E-93E5-6704D131BBD5}">
      <text>
        <t>[Threaded comment]
Your version of Excel allows you to read this threaded comment; however, any edits to it will get removed if the file is opened in a newer version of Excel. Learn more: https://go.microsoft.com/fwlink/?linkid=870924
Comment:
    Other revenue is non-subscription-based revenue. Cartrack remains focused on bundled sales.</t>
      </text>
    </comment>
    <comment ref="B153" authorId="0" shapeId="0" xr:uid="{F03509B8-2443-AC48-8207-6621A17684A0}">
      <text>
        <r>
          <rPr>
            <b/>
            <sz val="10"/>
            <color rgb="FF000000"/>
            <rFont val="Aptos Narrow"/>
            <scheme val="minor"/>
          </rPr>
          <t>Sankalp Bhatia:</t>
        </r>
        <r>
          <rPr>
            <sz val="10"/>
            <color rgb="FF000000"/>
            <rFont val="Aptos Narrow"/>
            <scheme val="minor"/>
          </rPr>
          <t xml:space="preserve">
</t>
        </r>
        <r>
          <rPr>
            <sz val="10"/>
            <color rgb="FF000000"/>
            <rFont val="Aptos Narrow"/>
            <scheme val="minor"/>
          </rPr>
          <t>driven by the demand for Q-commerce or “Quick-commerce” orders, a type of e-Commerce focused on ultra-fast delivery. Karooooo Logistics offers delivery-as-a-service (“DaaS”) to large enterprise customers wishing to scale and enable their Q-commerce operations through a capital light model by connecting them to an elastic fleet of third-party delivery drivers. The pace of Karooooo Logistics’s revenue growth may vary quarter to quarter as large customers invest in growing their Q-commerce businesses or driving traffic to their physical stores.</t>
        </r>
        <r>
          <rPr>
            <sz val="10"/>
            <color rgb="FF000000"/>
            <rFont val="Aptos Narrow"/>
            <scheme val="minor"/>
          </rPr>
          <t xml:space="preserve">
</t>
        </r>
      </text>
    </comment>
    <comment ref="Q157" authorId="0" shapeId="0" xr:uid="{BDE11451-0BFC-F749-B345-1E72586B95E2}">
      <text>
        <r>
          <rPr>
            <b/>
            <sz val="10"/>
            <color rgb="FF000000"/>
            <rFont val="Tahoma"/>
            <family val="2"/>
          </rPr>
          <t>Sankalp Bhatia: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PicknPay's online sales (asap! + Mr. D) for 20weeks through 19th July 2026 was 37.5%. Applying a slightly conservative growth rate to Delivery Logistics
</t>
        </r>
      </text>
    </comment>
  </commentList>
</comments>
</file>

<file path=xl/sharedStrings.xml><?xml version="1.0" encoding="utf-8"?>
<sst xmlns="http://schemas.openxmlformats.org/spreadsheetml/2006/main" count="354" uniqueCount="249">
  <si>
    <t>1Q24</t>
  </si>
  <si>
    <t>2Q24</t>
  </si>
  <si>
    <t>3Q24</t>
  </si>
  <si>
    <t>4Q24</t>
  </si>
  <si>
    <t>1Q25</t>
  </si>
  <si>
    <t>2Q25</t>
  </si>
  <si>
    <t>3Q25</t>
  </si>
  <si>
    <t>4Q25</t>
  </si>
  <si>
    <t>1Q26</t>
  </si>
  <si>
    <t>2Q26</t>
  </si>
  <si>
    <t>3Q26</t>
  </si>
  <si>
    <t>4Q26</t>
  </si>
  <si>
    <t>FY24</t>
  </si>
  <si>
    <t>FY25</t>
  </si>
  <si>
    <t>FY26</t>
  </si>
  <si>
    <t>Income Statement</t>
  </si>
  <si>
    <t>Cashflow</t>
  </si>
  <si>
    <t>Balance Sheet</t>
  </si>
  <si>
    <t>Revenue Build</t>
  </si>
  <si>
    <t>Cost  Build</t>
  </si>
  <si>
    <t>FY27</t>
  </si>
  <si>
    <t>x</t>
  </si>
  <si>
    <t>NASDAQ: KARO</t>
  </si>
  <si>
    <t>LTP: $62.28</t>
  </si>
  <si>
    <t>Revenue</t>
  </si>
  <si>
    <t>Cartrack</t>
  </si>
  <si>
    <t>Karooo Logistics</t>
  </si>
  <si>
    <t>Subscription Revenue</t>
  </si>
  <si>
    <t>ARPU</t>
  </si>
  <si>
    <t xml:space="preserve"> </t>
  </si>
  <si>
    <t>Base</t>
  </si>
  <si>
    <t>Bear</t>
  </si>
  <si>
    <t>Bull</t>
  </si>
  <si>
    <t>Other Revenue</t>
  </si>
  <si>
    <t>Delivery Service</t>
  </si>
  <si>
    <t>Total Revenue</t>
  </si>
  <si>
    <t>South Africa</t>
  </si>
  <si>
    <t>South East Asia</t>
  </si>
  <si>
    <t>Europe</t>
  </si>
  <si>
    <t>Paid Subscribers (Th)</t>
  </si>
  <si>
    <t>1Q27</t>
  </si>
  <si>
    <t>* Founded in 2001 in South Africa as am SVR (Stolen Vehicle Recovery) service.</t>
  </si>
  <si>
    <t>* Proprietary hardware and software</t>
  </si>
  <si>
    <t>* Hardware is developed in-house. No outsourced manufacturing.</t>
  </si>
  <si>
    <t>* Continues to develop software in fleet management, mobile asset tracking, workforce management, video solutions and logistics management.</t>
  </si>
  <si>
    <t>* Distribution strategy &gt;&gt; Sold through independent licensees in Botswana, Malawi, Rwanda and Zimbabwe. They enter in franchise agreement and have exclusive geo licenses to market and sell solutions for a royalty.</t>
  </si>
  <si>
    <t>* Royalty was only 0.1% of total revenue in 2026, 2025 and 2024.</t>
  </si>
  <si>
    <t>* Lack of 3P dependence</t>
  </si>
  <si>
    <t>26Q4</t>
  </si>
  <si>
    <t>2Q27</t>
  </si>
  <si>
    <t>3Q27</t>
  </si>
  <si>
    <t>* Platform collects, processes and analyzes data via two way communication with our proprietary harware or 3P devices in each vehicle or other assets.</t>
  </si>
  <si>
    <t>* Provide customers solutions across vehicles, inclusing electric vehicles and other assets and to use our platform alone or in conjunction with the systems of OEM's or other 3P.</t>
  </si>
  <si>
    <t>* Customers are defined at enetrprise or consumer level</t>
  </si>
  <si>
    <t>* Subscribers are defined as each vehicle or asset we service</t>
  </si>
  <si>
    <t>* OIP caters to all types of vehicle propulsion systems (internal combustion, hybrid, electric)</t>
  </si>
  <si>
    <t>Differentiation from competition</t>
  </si>
  <si>
    <t>* Almost all our systems and prodcuts are proprietary &gt;&gt; leads to lower costs and greater flexibility to our customers without 3P lock-ins.</t>
  </si>
  <si>
    <t>* R&amp;D centre in Singapore</t>
  </si>
  <si>
    <t>Team</t>
  </si>
  <si>
    <t>* To provide leading service in installations, customer support and vehicle recovery &gt;&gt; Branch network of automotive technicians with rapid-response capabilities in 20+ countries. 1000+ mobile workshops to serve customers globally around-the-clock.</t>
  </si>
  <si>
    <t>* Data operations</t>
  </si>
  <si>
    <t>* GSM</t>
  </si>
  <si>
    <t>* Radio frequency</t>
  </si>
  <si>
    <t>* Satellites</t>
  </si>
  <si>
    <t>* LPWAN &amp; V2X communications</t>
  </si>
  <si>
    <t>Technologies mentioned</t>
  </si>
  <si>
    <t>* Products and installations are insured by a number of insurers and motor vehicle manhufacturers.</t>
  </si>
  <si>
    <t>* Values - accountability, integrity, service orientation, relationships and an entrepreneurial mindset</t>
  </si>
  <si>
    <t>* Startup culture</t>
  </si>
  <si>
    <t>Values of the Company</t>
  </si>
  <si>
    <t>Benefits of using the product</t>
  </si>
  <si>
    <t>* Video Telematics lowers driver distraction by 80%, rduce speed by 65%, increase seatbelt usage by 70% and reduce collisions by 60%, reduce accidents claims by 25%</t>
  </si>
  <si>
    <t>* 39% of respondants mentioned reduced insurance premium</t>
  </si>
  <si>
    <t>* AI-enabled real time feedback enables coaching of drivers to engage in behvaiour that lowers fuel consumption, reduces maintenance cost and improves on-road saftey.</t>
  </si>
  <si>
    <t>* Increased workforce and asset productivity. Insight into key KPIs of asset and employee performance such as utilization, service intervals and billable hours.</t>
  </si>
  <si>
    <t>Industry Overview</t>
  </si>
  <si>
    <t>* OEM telematics to grow from $96.3B in 2024 to $321.3B in 2032, CAGR of 16.3%</t>
  </si>
  <si>
    <t>* 26% of commercial vehicles in South Africa were equipped with telematics devices in 2023.</t>
  </si>
  <si>
    <t>* Fleet management system penetration rates in SE Asia and Europe in 2024 were 17.5% and 26.7%.</t>
  </si>
  <si>
    <t>Future Growth Opportunity</t>
  </si>
  <si>
    <t>* 2 wheelers. will grow at a CAGR of 12.3% between 2024 and 2029.</t>
  </si>
  <si>
    <t>* New platforms - MiFleet &gt; admin and vehicle cost accounting solution &amp; Delivery &gt; workforce management application such as stock control, electronic proof of delivery, invoiving, business intelligence, job dispatch, etc.</t>
  </si>
  <si>
    <t>* Expand customer base</t>
  </si>
  <si>
    <t>* Increase subscription sales with new features and capabilities.</t>
  </si>
  <si>
    <t>* Expand geographic presence especially APAC</t>
  </si>
  <si>
    <t>* "Evaluating further expansion in Europe"</t>
  </si>
  <si>
    <t>* Gamified driver scorecards</t>
  </si>
  <si>
    <t>* Real time driver feedback</t>
  </si>
  <si>
    <t>Legend</t>
  </si>
  <si>
    <t>Negative point</t>
  </si>
  <si>
    <t>Blue highlight</t>
  </si>
  <si>
    <t>Check if competitors also provide this</t>
  </si>
  <si>
    <t>Green highlight</t>
  </si>
  <si>
    <t>Positive point</t>
  </si>
  <si>
    <t>Red highlight</t>
  </si>
  <si>
    <t>Karoooo Logistics (Delivery-as-a-Service, formerly Picup)</t>
  </si>
  <si>
    <t>* helps organizations improve delivery performance and enhance customer experiences and scale their operation with the capital light model.</t>
  </si>
  <si>
    <t>* Platform supports wide range of logistics models &gt; owned fleets, 3P carriers and crowd-sources delivery networks.</t>
  </si>
  <si>
    <t>Asset Revovery (SVR)</t>
  </si>
  <si>
    <t>* Outsources SVR assist vehicle owners, police and insurance companies with recovery of vehicles and other assets that have been stolen.</t>
  </si>
  <si>
    <t>* Dedicated team of 3P rapid response recovery agents.</t>
  </si>
  <si>
    <t>* Saftey package for all consumer vehicles. Following the installation of Cartrack telematics device, consumers can access diverse set of software features and benefits.</t>
  </si>
  <si>
    <t>* Mobile app for real time movement management and communication</t>
  </si>
  <si>
    <t>* Asset recovery</t>
  </si>
  <si>
    <t>* Ambulance assist</t>
  </si>
  <si>
    <t>* Crash alert and ignition alert system</t>
  </si>
  <si>
    <t>Customers</t>
  </si>
  <si>
    <t>Competitors in South Africa</t>
  </si>
  <si>
    <t>* MiX Telematics</t>
  </si>
  <si>
    <t>* Tracker</t>
  </si>
  <si>
    <t>* Netstar</t>
  </si>
  <si>
    <t>2025 April</t>
  </si>
  <si>
    <t>* Expert mentioned Tracker being a market leader</t>
  </si>
  <si>
    <t>2025 November</t>
  </si>
  <si>
    <t>* Tracker would have 50% market share</t>
  </si>
  <si>
    <t>* CarTrack will have 40%. Others sharing 10%</t>
  </si>
  <si>
    <t>* Tracker is losing market share</t>
  </si>
  <si>
    <t>* Technician comes to your place to fit the device. For other companies, you are suppose to go to a fitment centre.</t>
  </si>
  <si>
    <t>* Route optimization. It's not just positioning itself as another tracker. If a driver deviates 5km from the decided route, it's caution the owner.</t>
  </si>
  <si>
    <t>* Can detect theft.</t>
  </si>
  <si>
    <t>* Fuel theft technology. Device in the fuel tank. Compare it with consumption rate.</t>
  </si>
  <si>
    <t>* Device is manufactured in China and brought into South Africa.</t>
  </si>
  <si>
    <t>* CarTrack has ability to absorb cost due to vertical integration. But main differentiation is pricing.</t>
  </si>
  <si>
    <t>*Founder has been selling shares for the past 12 months. Down from 17.8M shares to 17.2M.</t>
  </si>
  <si>
    <t>* Culture of fear. Highly top-down culture with limited upward communication</t>
  </si>
  <si>
    <t>* Karooo relies on a legacy, in-house private cloud infrastructure that presents scalability and cost concerns compared to modern public cloud alternatives. (April 2023)</t>
  </si>
  <si>
    <t>* Company started shifting to modern tech stack</t>
  </si>
  <si>
    <t>* Customer service &gt;&gt; People call regularly to make sure the device is working fine.</t>
  </si>
  <si>
    <r>
      <t xml:space="preserve">* Leading </t>
    </r>
    <r>
      <rPr>
        <b/>
        <u/>
        <sz val="12"/>
        <color theme="1"/>
        <rFont val="Arial"/>
        <family val="2"/>
      </rPr>
      <t>operational intelligence platform</t>
    </r>
    <r>
      <rPr>
        <sz val="12"/>
        <color theme="1"/>
        <rFont val="Arial"/>
        <family val="2"/>
      </rPr>
      <t xml:space="preserve"> (OIP)</t>
    </r>
  </si>
  <si>
    <r>
      <t xml:space="preserve">Consumer Application in Souther Africa - </t>
    </r>
    <r>
      <rPr>
        <b/>
        <u/>
        <sz val="12"/>
        <color theme="1"/>
        <rFont val="Arial"/>
        <family val="2"/>
      </rPr>
      <t>Protector</t>
    </r>
  </si>
  <si>
    <r>
      <rPr>
        <u/>
        <sz val="12"/>
        <color theme="1"/>
        <rFont val="Arial"/>
        <family val="2"/>
      </rPr>
      <t>Car Watch</t>
    </r>
    <r>
      <rPr>
        <sz val="12"/>
        <color theme="1"/>
        <rFont val="Arial"/>
        <family val="2"/>
      </rPr>
      <t xml:space="preserve"> &gt; mobile application that allows users to track and watchtheir vehicles from a distance</t>
    </r>
  </si>
  <si>
    <r>
      <t>Cartrack Tag</t>
    </r>
    <r>
      <rPr>
        <sz val="12"/>
        <color theme="1"/>
        <rFont val="Arial"/>
        <family val="2"/>
      </rPr>
      <t xml:space="preserve"> &gt; Wireless asset tag that extends OIP to any mobile asset in South Africa, offers asset tracking, in areas with limited or no cellular connectivity.</t>
    </r>
  </si>
  <si>
    <r>
      <rPr>
        <u/>
        <sz val="12"/>
        <color theme="1"/>
        <rFont val="Arial"/>
        <family val="2"/>
      </rPr>
      <t>South Africa</t>
    </r>
    <r>
      <rPr>
        <sz val="12"/>
        <color theme="1"/>
        <rFont val="Arial"/>
        <family val="2"/>
      </rPr>
      <t>: Dis-Chem, Kennings Car Van and Truck Hire, Lancet, MAN South Africa, Pick n Pay, SA Taxi Mobalyz, Spartan, Swissport, The Courier Guy, The Woodford Group.</t>
    </r>
  </si>
  <si>
    <r>
      <rPr>
        <u/>
        <sz val="12"/>
        <color theme="1"/>
        <rFont val="Arial"/>
        <family val="2"/>
      </rPr>
      <t>Africa</t>
    </r>
    <r>
      <rPr>
        <sz val="12"/>
        <color theme="1"/>
        <rFont val="Arial"/>
        <family val="2"/>
      </rPr>
      <t>: AIDS Healthcare Foundation, BCI, British American Tobacco, ENHL-Bonatti, Gemfields Group, Handling, Mantrac, NCBA Kenya, Ryce Leasing, Stanbic Bank, Transortes Carlos Mesquita</t>
    </r>
  </si>
  <si>
    <r>
      <rPr>
        <u/>
        <sz val="12"/>
        <color theme="1"/>
        <rFont val="Arial"/>
        <family val="2"/>
      </rPr>
      <t>Europe</t>
    </r>
    <r>
      <rPr>
        <sz val="12"/>
        <color theme="1"/>
        <rFont val="Arial"/>
        <family val="2"/>
      </rPr>
      <t>: Eurocash, Grupo Visabeira, Jeronimo Martins, Petit Forestier, Telefurgo, Zabka</t>
    </r>
  </si>
  <si>
    <r>
      <rPr>
        <u/>
        <sz val="12"/>
        <color theme="1"/>
        <rFont val="Arial"/>
        <family val="2"/>
      </rPr>
      <t>APAC</t>
    </r>
    <r>
      <rPr>
        <sz val="12"/>
        <color theme="1"/>
        <rFont val="Arial"/>
        <family val="2"/>
      </rPr>
      <t xml:space="preserve"> and Middle East: Al Marwan, Asia Brewery, Coca-Cola, DHL, Diag Farms, GetGo, KINTO, Ley Choon, Lootah, Lumens, Toyota Mobility Solutions.</t>
    </r>
  </si>
  <si>
    <t>* Rule of 40 companies EV/Sales - Peers rade at 7-10x</t>
  </si>
  <si>
    <t>* KARO trades at 4x EV/Sales</t>
  </si>
  <si>
    <t>ZAR (M)</t>
  </si>
  <si>
    <t>YY% growth</t>
  </si>
  <si>
    <t>Cartrack Other Revenue</t>
  </si>
  <si>
    <t>Delivery Revenue</t>
  </si>
  <si>
    <t>Overall ARPU (ZAR)</t>
  </si>
  <si>
    <t>Subscription Revenue (ZAR M)</t>
  </si>
  <si>
    <t>4Q27</t>
  </si>
  <si>
    <t>Logistics Subscription Revenue</t>
  </si>
  <si>
    <t>Cost of Sales</t>
  </si>
  <si>
    <t>Variant View</t>
  </si>
  <si>
    <t>Karooo Ligistics (DaaS), fka Picup</t>
  </si>
  <si>
    <t>*Picup’s clients include PnP asap!, Dischem, Nando’s, McDonald’s, Absolute Pets, OneCart and iStore.</t>
  </si>
  <si>
    <t>Pick n Pay / PnP asap!</t>
  </si>
  <si>
    <t>Dis-Chem</t>
  </si>
  <si>
    <t>Clicks</t>
  </si>
  <si>
    <t>Nando's</t>
  </si>
  <si>
    <t>McDonald's</t>
  </si>
  <si>
    <t>Absolute Pets</t>
  </si>
  <si>
    <t>OneCart</t>
  </si>
  <si>
    <t>iStore</t>
  </si>
  <si>
    <t>Bash</t>
  </si>
  <si>
    <t>Karooo acquired Picup Technologies in 2021</t>
  </si>
  <si>
    <t>Dis-Chem Revenue</t>
  </si>
  <si>
    <t>KARO Logistics Revenue</t>
  </si>
  <si>
    <t>22Q4</t>
  </si>
  <si>
    <t>23Q1</t>
  </si>
  <si>
    <t>23Q2</t>
  </si>
  <si>
    <t>23Q3</t>
  </si>
  <si>
    <t>23Q4</t>
  </si>
  <si>
    <t>24Q1</t>
  </si>
  <si>
    <t>24Q2</t>
  </si>
  <si>
    <t>24Q3</t>
  </si>
  <si>
    <t>24Q4</t>
  </si>
  <si>
    <t>25Q1</t>
  </si>
  <si>
    <t>25Q2</t>
  </si>
  <si>
    <t>25Q3</t>
  </si>
  <si>
    <t>25Q4</t>
  </si>
  <si>
    <t>26Q1</t>
  </si>
  <si>
    <t>26Q2</t>
  </si>
  <si>
    <t>26Q3</t>
  </si>
  <si>
    <t>27Q1</t>
  </si>
  <si>
    <t>KARO'S calendar</t>
  </si>
  <si>
    <t>Qs</t>
  </si>
  <si>
    <t>Qe</t>
  </si>
  <si>
    <t>days</t>
  </si>
  <si>
    <t>PicknPay Revenue (ZAR B)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</si>
  <si>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</si>
  <si>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</si>
  <si>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</si>
  <si>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</si>
  <si>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</si>
  <si>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</si>
  <si>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</si>
  <si>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</si>
  <si>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</si>
  <si>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</si>
  <si>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</si>
  <si>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</si>
  <si>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</si>
  <si>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</si>
  <si>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</si>
  <si>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</si>
  <si>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</si>
  <si>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</si>
  <si>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</si>
  <si>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</si>
  <si>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</si>
  <si>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</si>
  <si>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</si>
  <si>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</si>
  <si>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</si>
  <si>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Y = -255.07 + 18.29 × X</t>
  </si>
  <si>
    <t>Consensus (Roth Capital)</t>
  </si>
  <si>
    <t>Platinum Promotions is the name of the manufacturer of Picup's uniforms/vests.</t>
  </si>
  <si>
    <t>Base case is coming at 19%, lower end of guidance</t>
  </si>
  <si>
    <t>Total Cost of Sales</t>
  </si>
  <si>
    <t>Gross Profit</t>
  </si>
  <si>
    <t>Cartrack GP</t>
  </si>
  <si>
    <t>Karooo Logistics GP</t>
  </si>
  <si>
    <t>Cartrack GPM %</t>
  </si>
  <si>
    <t>Karooo Logistics GPM %</t>
  </si>
  <si>
    <t>Total GP Margin %</t>
  </si>
  <si>
    <t>Operating Expense</t>
  </si>
  <si>
    <t>Total Operating Expense</t>
  </si>
  <si>
    <t>Operating Profit</t>
  </si>
  <si>
    <t>Cartrack S&amp;M</t>
  </si>
  <si>
    <t>Cartrack G&amp;A</t>
  </si>
  <si>
    <t>% of Cartrack Subscription Revenue</t>
  </si>
  <si>
    <t>Cartrack R&amp;D</t>
  </si>
  <si>
    <t>Total Operating Profit</t>
  </si>
  <si>
    <t>OPM %</t>
  </si>
  <si>
    <t>Total Gross Profit</t>
  </si>
  <si>
    <t>Share Price</t>
  </si>
  <si>
    <t>Fully Diluted Shares Outstanding</t>
  </si>
  <si>
    <t>RSUs</t>
  </si>
  <si>
    <t>Stocks to be issued</t>
  </si>
  <si>
    <t>Stocks to be repurchased</t>
  </si>
  <si>
    <t>Shares Outstanding (as of 2026/05/31) (M)</t>
  </si>
  <si>
    <t>FDSO Mkt Cap (M)</t>
  </si>
  <si>
    <t>(-) Cash</t>
  </si>
  <si>
    <t>(+) Debt</t>
  </si>
  <si>
    <t>EV</t>
  </si>
  <si>
    <t>FCF (ZAR M)</t>
  </si>
  <si>
    <t>FCF ($ M)</t>
  </si>
  <si>
    <t>FCF/EV</t>
  </si>
  <si>
    <t>* Sell-side is only focusing on subscriber growth. Which is 85% of the business, but no reports have covered "delivery-as-a-service" segment which is the fastest growing segment as mentioned by the company in its 27Q1 earnings</t>
  </si>
  <si>
    <t xml:space="preserve">  </t>
  </si>
  <si>
    <t>Anirudh Krishna works in Samsara</t>
  </si>
  <si>
    <t>Q1</t>
  </si>
  <si>
    <t>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</si>
</sst>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&quot;FY&quot;00"/>
    <numFmt numFmtId="173" formatCode="0.0%"/>
    <numFmt numFmtId="175" formatCode="_(* #,##0.0_);_(* \(#,##0.0\);_(* &quot;-&quot;??_);_(@_)"/>
    <numFmt numFmtId="176" formatCode="_(* #,##0.0_);_(* \(#,##0.0\);_(* &quot;-&quot;?_);_(@_)"/>
    <numFmt numFmtId="177" formatCode="_(* #,##0_);_(* \(#,##0\);_(* &quot;-&quot;??_);_(@_)"/>
    <numFmt numFmtId="181" formatCode="yyyy\-mm\-dd;@"/>
    <numFmt numFmtId="183" formatCode="[$$-409]#,##0.00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u/>
      <sz val="12"/>
      <color theme="1"/>
      <name val="Arial"/>
      <family val="2"/>
    </font>
    <font>
      <i/>
      <sz val="12"/>
      <color theme="1"/>
      <name val="Arial"/>
      <family val="2"/>
    </font>
    <font>
      <i/>
      <sz val="12"/>
      <color rgb="FF0059FF"/>
      <name val="Arial"/>
      <family val="2"/>
    </font>
    <font>
      <sz val="10"/>
      <color rgb="FF000000"/>
      <name val="Tahoma"/>
      <family val="2"/>
    </font>
    <font>
      <b/>
      <sz val="12"/>
      <color theme="1"/>
      <name val="Arial"/>
      <family val="2"/>
    </font>
    <font>
      <b/>
      <sz val="12"/>
      <color rgb="FF0059FF"/>
      <name val="Arial"/>
      <family val="2"/>
    </font>
    <font>
      <u/>
      <sz val="12"/>
      <color theme="1"/>
      <name val="Aptos Narrow"/>
      <family val="2"/>
      <scheme val="minor"/>
    </font>
    <font>
      <b/>
      <sz val="10"/>
      <color rgb="FF000000"/>
      <name val="Tahoma"/>
      <family val="2"/>
    </font>
    <font>
      <sz val="12"/>
      <color rgb="FF0059FF"/>
      <name val="Aptos Narrow"/>
      <family val="2"/>
      <scheme val="minor"/>
    </font>
    <font>
      <u/>
      <sz val="12"/>
      <color theme="1"/>
      <name val="Arial"/>
      <family val="2"/>
    </font>
    <font>
      <sz val="12"/>
      <color rgb="FFFF0000"/>
      <name val="Arial"/>
      <family val="2"/>
    </font>
    <font>
      <sz val="12"/>
      <color rgb="FF0059FF"/>
      <name val="Arial"/>
      <family val="2"/>
    </font>
    <font>
      <sz val="12"/>
      <color theme="9" tint="-0.249977111117893"/>
      <name val="Arial"/>
      <family val="2"/>
    </font>
    <font>
      <sz val="12"/>
      <color rgb="FF00B050"/>
      <name val="Arial"/>
      <family val="2"/>
    </font>
    <font>
      <b/>
      <i/>
      <sz val="12"/>
      <color theme="1"/>
      <name val="Arial"/>
      <family val="2"/>
    </font>
    <font>
      <sz val="10"/>
      <color rgb="FF000000"/>
      <name val="Aptos Narrow"/>
      <scheme val="minor"/>
    </font>
    <font>
      <b/>
      <sz val="10"/>
      <color rgb="FF000000"/>
      <name val="Aptos Narrow"/>
      <scheme val="minor"/>
    </font>
    <font>
      <i/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BE3EB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4">
    <xf numFmtId="0" fontId="0" fillId="0" borderId="0" xfId="0"/>
    <xf numFmtId="0" fontId="2" fillId="0" borderId="0" xfId="0" applyFont="1"/>
    <xf numFmtId="17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3" fillId="2" borderId="0" xfId="0" applyFont="1" applyFill="1"/>
    <xf numFmtId="0" fontId="2" fillId="2" borderId="0" xfId="0" applyFont="1" applyFill="1"/>
    <xf numFmtId="43" fontId="2" fillId="0" borderId="0" xfId="1" applyFont="1"/>
    <xf numFmtId="14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 indent="2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indent="6"/>
    </xf>
    <xf numFmtId="0" fontId="2" fillId="0" borderId="0" xfId="0" applyFont="1" applyAlignment="1">
      <alignment horizontal="left" indent="4"/>
    </xf>
    <xf numFmtId="0" fontId="5" fillId="0" borderId="0" xfId="0" applyFont="1" applyAlignment="1">
      <alignment horizontal="left" indent="8"/>
    </xf>
    <xf numFmtId="0" fontId="8" fillId="0" borderId="0" xfId="0" applyFont="1"/>
    <xf numFmtId="0" fontId="2" fillId="0" borderId="1" xfId="0" applyFont="1" applyBorder="1"/>
    <xf numFmtId="43" fontId="2" fillId="0" borderId="1" xfId="1" applyFont="1" applyBorder="1"/>
    <xf numFmtId="0" fontId="2" fillId="3" borderId="0" xfId="0" applyFont="1" applyFill="1" applyAlignment="1">
      <alignment horizontal="center"/>
    </xf>
    <xf numFmtId="0" fontId="9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9" fontId="2" fillId="0" borderId="0" xfId="2" applyFont="1"/>
    <xf numFmtId="0" fontId="4" fillId="0" borderId="0" xfId="0" applyFont="1" applyAlignment="1">
      <alignment horizontal="left" indent="2"/>
    </xf>
    <xf numFmtId="9" fontId="4" fillId="0" borderId="0" xfId="2" applyFont="1"/>
    <xf numFmtId="2" fontId="2" fillId="0" borderId="0" xfId="0" applyNumberFormat="1" applyFont="1"/>
    <xf numFmtId="1" fontId="2" fillId="0" borderId="0" xfId="0" applyNumberFormat="1" applyFont="1"/>
    <xf numFmtId="0" fontId="4" fillId="0" borderId="0" xfId="0" applyFont="1"/>
    <xf numFmtId="43" fontId="2" fillId="0" borderId="0" xfId="0" applyNumberFormat="1" applyFont="1"/>
    <xf numFmtId="173" fontId="2" fillId="0" borderId="0" xfId="2" applyNumberFormat="1" applyFont="1"/>
    <xf numFmtId="10" fontId="2" fillId="0" borderId="0" xfId="2" applyNumberFormat="1" applyFont="1"/>
    <xf numFmtId="43" fontId="2" fillId="0" borderId="1" xfId="0" applyNumberFormat="1" applyFont="1" applyBorder="1"/>
    <xf numFmtId="9" fontId="2" fillId="0" borderId="0" xfId="2" applyNumberFormat="1" applyFont="1"/>
    <xf numFmtId="0" fontId="5" fillId="0" borderId="0" xfId="0" applyFont="1"/>
    <xf numFmtId="0" fontId="8" fillId="0" borderId="0" xfId="0" applyFont="1" applyAlignment="1">
      <alignment horizontal="left"/>
    </xf>
    <xf numFmtId="0" fontId="2" fillId="4" borderId="0" xfId="0" applyFont="1" applyFill="1"/>
    <xf numFmtId="17" fontId="2" fillId="4" borderId="0" xfId="0" applyNumberFormat="1" applyFont="1" applyFill="1" applyAlignment="1">
      <alignment horizontal="center"/>
    </xf>
    <xf numFmtId="0" fontId="2" fillId="4" borderId="0" xfId="0" applyFont="1" applyFill="1" applyAlignment="1">
      <alignment horizontal="center"/>
    </xf>
    <xf numFmtId="43" fontId="2" fillId="4" borderId="0" xfId="1" applyFont="1" applyFill="1"/>
    <xf numFmtId="43" fontId="2" fillId="4" borderId="1" xfId="1" applyFont="1" applyFill="1" applyBorder="1"/>
    <xf numFmtId="9" fontId="4" fillId="4" borderId="0" xfId="2" applyFont="1" applyFill="1"/>
    <xf numFmtId="0" fontId="5" fillId="4" borderId="0" xfId="0" applyFont="1" applyFill="1"/>
    <xf numFmtId="43" fontId="2" fillId="4" borderId="0" xfId="0" applyNumberFormat="1" applyFont="1" applyFill="1"/>
    <xf numFmtId="9" fontId="2" fillId="4" borderId="0" xfId="2" applyFont="1" applyFill="1"/>
    <xf numFmtId="9" fontId="2" fillId="4" borderId="0" xfId="2" applyNumberFormat="1" applyFont="1" applyFill="1"/>
    <xf numFmtId="0" fontId="4" fillId="0" borderId="0" xfId="0" applyFont="1" applyAlignment="1">
      <alignment horizontal="left" indent="4"/>
    </xf>
    <xf numFmtId="9" fontId="5" fillId="4" borderId="0" xfId="2" applyFont="1" applyFill="1"/>
    <xf numFmtId="9" fontId="5" fillId="4" borderId="0" xfId="2" applyNumberFormat="1" applyFont="1" applyFill="1"/>
    <xf numFmtId="2" fontId="4" fillId="4" borderId="0" xfId="0" applyNumberFormat="1" applyFont="1" applyFill="1"/>
    <xf numFmtId="43" fontId="4" fillId="4" borderId="0" xfId="1" applyFont="1" applyFill="1"/>
    <xf numFmtId="43" fontId="4" fillId="4" borderId="1" xfId="1" applyFont="1" applyFill="1" applyBorder="1"/>
    <xf numFmtId="0" fontId="4" fillId="4" borderId="0" xfId="0" applyFont="1" applyFill="1"/>
    <xf numFmtId="1" fontId="4" fillId="4" borderId="0" xfId="0" applyNumberFormat="1" applyFont="1" applyFill="1"/>
    <xf numFmtId="43" fontId="4" fillId="4" borderId="0" xfId="0" applyNumberFormat="1" applyFont="1" applyFill="1"/>
    <xf numFmtId="9" fontId="2" fillId="0" borderId="0" xfId="2" applyFont="1" applyAlignment="1">
      <alignment horizontal="center"/>
    </xf>
    <xf numFmtId="175" fontId="2" fillId="0" borderId="0" xfId="0" applyNumberFormat="1" applyFont="1"/>
    <xf numFmtId="0" fontId="4" fillId="0" borderId="0" xfId="0" applyFont="1" applyAlignment="1">
      <alignment horizontal="left" indent="6"/>
    </xf>
    <xf numFmtId="177" fontId="2" fillId="0" borderId="0" xfId="0" applyNumberFormat="1" applyFont="1" applyAlignment="1">
      <alignment horizontal="left" indent="6"/>
    </xf>
    <xf numFmtId="0" fontId="7" fillId="0" borderId="0" xfId="0" applyFont="1" applyAlignment="1">
      <alignment horizontal="left" indent="2"/>
    </xf>
    <xf numFmtId="43" fontId="7" fillId="0" borderId="0" xfId="1" applyFont="1"/>
    <xf numFmtId="43" fontId="17" fillId="4" borderId="0" xfId="1" applyFont="1" applyFill="1"/>
    <xf numFmtId="9" fontId="2" fillId="0" borderId="0" xfId="2" applyNumberFormat="1" applyFont="1" applyAlignment="1"/>
    <xf numFmtId="9" fontId="4" fillId="4" borderId="0" xfId="2" applyFont="1" applyFill="1" applyAlignment="1"/>
    <xf numFmtId="43" fontId="7" fillId="0" borderId="0" xfId="0" applyNumberFormat="1" applyFont="1"/>
    <xf numFmtId="0" fontId="0" fillId="0" borderId="0" xfId="0" applyAlignment="1">
      <alignment horizontal="center"/>
    </xf>
    <xf numFmtId="181" fontId="0" fillId="0" borderId="0" xfId="0" applyNumberFormat="1"/>
    <xf numFmtId="0" fontId="11" fillId="0" borderId="0" xfId="0" applyFont="1" applyAlignment="1">
      <alignment horizontal="center"/>
    </xf>
    <xf numFmtId="0" fontId="0" fillId="0" borderId="0" xfId="0" applyFill="1" applyBorder="1" applyAlignment="1"/>
    <xf numFmtId="0" fontId="0" fillId="0" borderId="2" xfId="0" applyFill="1" applyBorder="1" applyAlignment="1"/>
    <xf numFmtId="0" fontId="20" fillId="0" borderId="3" xfId="0" applyFont="1" applyFill="1" applyBorder="1" applyAlignment="1">
      <alignment horizontal="center"/>
    </xf>
    <xf numFmtId="0" fontId="20" fillId="0" borderId="3" xfId="0" applyFont="1" applyFill="1" applyBorder="1" applyAlignment="1">
      <alignment horizontal="centerContinuous"/>
    </xf>
    <xf numFmtId="9" fontId="0" fillId="0" borderId="0" xfId="2" applyFont="1"/>
    <xf numFmtId="2" fontId="0" fillId="0" borderId="0" xfId="0" applyNumberFormat="1" applyAlignment="1">
      <alignment horizontal="center"/>
    </xf>
    <xf numFmtId="0" fontId="5" fillId="0" borderId="0" xfId="0" applyFont="1" applyAlignment="1">
      <alignment horizontal="left" indent="6"/>
    </xf>
    <xf numFmtId="10" fontId="4" fillId="4" borderId="0" xfId="2" applyNumberFormat="1" applyFont="1" applyFill="1"/>
    <xf numFmtId="0" fontId="0" fillId="4" borderId="0" xfId="0" applyFill="1"/>
    <xf numFmtId="43" fontId="2" fillId="5" borderId="0" xfId="0" applyNumberFormat="1" applyFont="1" applyFill="1"/>
    <xf numFmtId="175" fontId="2" fillId="0" borderId="0" xfId="1" applyNumberFormat="1" applyFont="1"/>
    <xf numFmtId="0" fontId="0" fillId="0" borderId="1" xfId="0" applyBorder="1"/>
    <xf numFmtId="176" fontId="2" fillId="0" borderId="1" xfId="0" applyNumberFormat="1" applyFont="1" applyBorder="1"/>
    <xf numFmtId="10" fontId="4" fillId="0" borderId="0" xfId="2" applyNumberFormat="1" applyFont="1"/>
    <xf numFmtId="176" fontId="2" fillId="4" borderId="1" xfId="0" applyNumberFormat="1" applyFont="1" applyFill="1" applyBorder="1"/>
    <xf numFmtId="0" fontId="4" fillId="4" borderId="1" xfId="0" applyFont="1" applyFill="1" applyBorder="1"/>
    <xf numFmtId="9" fontId="5" fillId="0" borderId="0" xfId="2" applyFont="1"/>
    <xf numFmtId="43" fontId="4" fillId="0" borderId="0" xfId="1" applyFont="1"/>
    <xf numFmtId="183" fontId="0" fillId="0" borderId="0" xfId="0" applyNumberFormat="1"/>
    <xf numFmtId="43" fontId="0" fillId="0" borderId="0" xfId="1" applyFont="1"/>
    <xf numFmtId="183" fontId="0" fillId="0" borderId="1" xfId="0" applyNumberFormat="1" applyBorder="1"/>
    <xf numFmtId="2" fontId="0" fillId="0" borderId="0" xfId="0" applyNumberFormat="1"/>
    <xf numFmtId="173" fontId="0" fillId="0" borderId="0" xfId="2" applyNumberFormat="1" applyFont="1"/>
    <xf numFmtId="10" fontId="0" fillId="0" borderId="0" xfId="2" applyNumberFormat="1" applyFont="1"/>
    <xf numFmtId="10" fontId="0" fillId="0" borderId="0" xfId="0" applyNumberFormat="1"/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2" defaultPivotStyle="PivotStyleLight16"/>
  <colors>
    <mruColors>
      <color rgb="FF0059FF"/>
      <color rgb="FF3974ED"/>
      <color rgb="FFDBE3EB"/>
      <color rgb="FFC9E1EB"/>
      <color rgb="FFB3DB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367423</xdr:colOff>
      <xdr:row>30</xdr:row>
      <xdr:rowOff>94683</xdr:rowOff>
    </xdr:from>
    <xdr:to>
      <xdr:col>7</xdr:col>
      <xdr:colOff>1270641</xdr:colOff>
      <xdr:row>51</xdr:row>
      <xdr:rowOff>78309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9643C55-EB9B-94B7-67A2-6AB4603B28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0127" y="6165123"/>
          <a:ext cx="6949696" cy="424092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367422</xdr:colOff>
      <xdr:row>52</xdr:row>
      <xdr:rowOff>31951</xdr:rowOff>
    </xdr:from>
    <xdr:to>
      <xdr:col>8</xdr:col>
      <xdr:colOff>527809</xdr:colOff>
      <xdr:row>75</xdr:row>
      <xdr:rowOff>24441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E79BBAB-800E-90F4-9E1E-9119669ADE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90126" y="10559372"/>
          <a:ext cx="7772400" cy="463318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333366</xdr:colOff>
      <xdr:row>107</xdr:row>
      <xdr:rowOff>20247</xdr:rowOff>
    </xdr:from>
    <xdr:to>
      <xdr:col>19</xdr:col>
      <xdr:colOff>674336</xdr:colOff>
      <xdr:row>124</xdr:row>
      <xdr:rowOff>138158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62A804-85D2-4E7A-240F-EE4CE78FCA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85932" y="21666442"/>
          <a:ext cx="8545395" cy="355702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ankalp Bhatia" id="{EB071502-03DC-054D-8A32-81D0EF8DE3F0}" userId="a6ef28b3ecd17e58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01" dT="2026-08-16T11:41:06.80" personId="{EB071502-03DC-054D-8A32-81D0EF8DE3F0}" id="{AFDDAF14-E944-464B-BA83-B66DC3E5755D}">
    <text>Includes other-Africa also</text>
  </threadedComment>
  <threadedComment ref="P121" dT="2026-08-16T11:30:33.17" personId="{EB071502-03DC-054D-8A32-81D0EF8DE3F0}" id="{5DA4F210-7B46-D64D-A690-52616FD46757}">
    <text>Fastest growing region in terms of subscribers growth</text>
  </threadedComment>
  <threadedComment ref="B150" dT="2026-08-16T11:15:59.69" personId="{EB071502-03DC-054D-8A32-81D0EF8DE3F0}" id="{2268F98B-2208-424E-93E5-6704D131BBD5}">
    <text>Other revenue is non-subscription-based revenue. Cartrack remains focused on bundled sales.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5823D-5AC9-5846-AA8B-3ECAF7052BBC}">
  <dimension ref="A2:AB176"/>
  <sheetViews>
    <sheetView tabSelected="1" zoomScale="108" zoomScaleNormal="100" workbookViewId="0">
      <pane xSplit="2" ySplit="5" topLeftCell="J6" activePane="bottomRight" state="frozen"/>
      <selection pane="topRight" activeCell="C1" sqref="C1"/>
      <selection pane="bottomLeft" activeCell="A6" sqref="A6"/>
      <selection pane="bottomRight" activeCell="O22" sqref="O22"/>
    </sheetView>
  </sheetViews>
  <sheetFormatPr baseColWidth="10" defaultRowHeight="16" outlineLevelRow="2" x14ac:dyDescent="0.2"/>
  <cols>
    <col min="1" max="1" width="2.83203125" style="1" customWidth="1"/>
    <col min="2" max="2" width="41.5" style="1" bestFit="1" customWidth="1"/>
    <col min="3" max="3" width="26" style="1" customWidth="1"/>
    <col min="4" max="4" width="15" style="1" bestFit="1" customWidth="1"/>
    <col min="5" max="16" width="13.6640625" style="1" bestFit="1" customWidth="1"/>
    <col min="17" max="17" width="13.5" style="37" bestFit="1" customWidth="1"/>
    <col min="18" max="19" width="12.33203125" style="37" bestFit="1" customWidth="1"/>
    <col min="20" max="21" width="10.83203125" style="1"/>
    <col min="22" max="24" width="10.83203125" style="1" bestFit="1" customWidth="1"/>
    <col min="25" max="25" width="12" style="1" bestFit="1" customWidth="1"/>
    <col min="26" max="16384" width="10.83203125" style="1"/>
  </cols>
  <sheetData>
    <row r="2" spans="1:28" x14ac:dyDescent="0.2">
      <c r="B2" s="1" t="s">
        <v>22</v>
      </c>
    </row>
    <row r="3" spans="1:28" x14ac:dyDescent="0.2">
      <c r="B3" s="1" t="s">
        <v>23</v>
      </c>
    </row>
    <row r="4" spans="1:28" x14ac:dyDescent="0.2">
      <c r="B4" s="8">
        <v>46250</v>
      </c>
      <c r="C4" s="8"/>
      <c r="D4" s="2">
        <v>45077</v>
      </c>
      <c r="E4" s="2">
        <f>EOMONTH(D4,3)</f>
        <v>45169</v>
      </c>
      <c r="F4" s="2">
        <f t="shared" ref="F4:G4" si="0">EOMONTH(E4,3)</f>
        <v>45260</v>
      </c>
      <c r="G4" s="2">
        <f t="shared" si="0"/>
        <v>45351</v>
      </c>
      <c r="H4" s="2">
        <f t="shared" ref="H4:K4" si="1">EOMONTH(G4,3)</f>
        <v>45443</v>
      </c>
      <c r="I4" s="2">
        <f t="shared" si="1"/>
        <v>45535</v>
      </c>
      <c r="J4" s="2">
        <f t="shared" si="1"/>
        <v>45626</v>
      </c>
      <c r="K4" s="2">
        <f t="shared" si="1"/>
        <v>45716</v>
      </c>
      <c r="L4" s="2">
        <f t="shared" ref="L4:O4" si="2">EOMONTH(K4,3)</f>
        <v>45808</v>
      </c>
      <c r="M4" s="2">
        <f t="shared" si="2"/>
        <v>45900</v>
      </c>
      <c r="N4" s="2">
        <f t="shared" si="2"/>
        <v>45991</v>
      </c>
      <c r="O4" s="2">
        <f t="shared" si="2"/>
        <v>46081</v>
      </c>
      <c r="P4" s="2">
        <f t="shared" ref="P4" si="3">EOMONTH(O4,3)</f>
        <v>46173</v>
      </c>
      <c r="Q4" s="38">
        <f t="shared" ref="Q4" si="4">EOMONTH(P4,3)</f>
        <v>46265</v>
      </c>
      <c r="R4" s="38">
        <f t="shared" ref="R4:S4" si="5">EOMONTH(Q4,3)</f>
        <v>46356</v>
      </c>
      <c r="S4" s="38">
        <f t="shared" si="5"/>
        <v>46446</v>
      </c>
      <c r="T4" s="2"/>
      <c r="U4" s="2">
        <v>44895</v>
      </c>
      <c r="V4" s="2">
        <f>F4</f>
        <v>45260</v>
      </c>
      <c r="W4" s="2">
        <f>EOMONTH(V4,12)</f>
        <v>45626</v>
      </c>
      <c r="X4" s="2">
        <f t="shared" ref="X4:Y4" si="6">EOMONTH(W4,12)</f>
        <v>45991</v>
      </c>
      <c r="Y4" s="2">
        <f t="shared" si="6"/>
        <v>46356</v>
      </c>
    </row>
    <row r="5" spans="1:28" x14ac:dyDescent="0.2">
      <c r="B5" s="36">
        <v>2</v>
      </c>
      <c r="C5" s="14"/>
      <c r="D5" s="3" t="s">
        <v>0</v>
      </c>
      <c r="E5" s="3" t="s">
        <v>1</v>
      </c>
      <c r="F5" s="3" t="s">
        <v>2</v>
      </c>
      <c r="G5" s="3" t="s">
        <v>3</v>
      </c>
      <c r="H5" s="3" t="s">
        <v>4</v>
      </c>
      <c r="I5" s="3" t="s">
        <v>5</v>
      </c>
      <c r="J5" s="3" t="s">
        <v>6</v>
      </c>
      <c r="K5" s="3" t="s">
        <v>7</v>
      </c>
      <c r="L5" s="3" t="s">
        <v>8</v>
      </c>
      <c r="M5" s="3" t="s">
        <v>9</v>
      </c>
      <c r="N5" s="3" t="s">
        <v>10</v>
      </c>
      <c r="O5" s="3" t="s">
        <v>11</v>
      </c>
      <c r="P5" s="17" t="s">
        <v>40</v>
      </c>
      <c r="Q5" s="39" t="s">
        <v>49</v>
      </c>
      <c r="R5" s="39" t="s">
        <v>50</v>
      </c>
      <c r="S5" s="39" t="s">
        <v>145</v>
      </c>
      <c r="T5" s="3"/>
      <c r="V5" s="4" t="s">
        <v>12</v>
      </c>
      <c r="W5" s="4" t="s">
        <v>13</v>
      </c>
      <c r="X5" s="2" t="s">
        <v>14</v>
      </c>
      <c r="Y5" s="2" t="s">
        <v>20</v>
      </c>
      <c r="AB5" s="1" t="s">
        <v>29</v>
      </c>
    </row>
    <row r="6" spans="1:28" x14ac:dyDescent="0.2">
      <c r="D6" s="3"/>
      <c r="E6" s="3">
        <f t="shared" ref="E6:F6" si="7">E4-D4</f>
        <v>92</v>
      </c>
      <c r="F6" s="3">
        <f t="shared" si="7"/>
        <v>91</v>
      </c>
      <c r="G6" s="3">
        <f>G4-F4</f>
        <v>91</v>
      </c>
      <c r="H6" s="3">
        <f t="shared" ref="H6:K6" si="8">H4-G4</f>
        <v>92</v>
      </c>
      <c r="I6" s="3">
        <f t="shared" si="8"/>
        <v>92</v>
      </c>
      <c r="J6" s="3">
        <f t="shared" si="8"/>
        <v>91</v>
      </c>
      <c r="K6" s="3">
        <f t="shared" si="8"/>
        <v>90</v>
      </c>
      <c r="L6" s="3">
        <f t="shared" ref="L6:Q6" si="9">L4-K4</f>
        <v>92</v>
      </c>
      <c r="M6" s="3">
        <f t="shared" si="9"/>
        <v>92</v>
      </c>
      <c r="N6" s="3">
        <f t="shared" si="9"/>
        <v>91</v>
      </c>
      <c r="O6" s="3">
        <f t="shared" si="9"/>
        <v>90</v>
      </c>
      <c r="P6" s="3">
        <f t="shared" si="9"/>
        <v>92</v>
      </c>
      <c r="Q6" s="39">
        <f t="shared" si="9"/>
        <v>92</v>
      </c>
      <c r="R6" s="39">
        <f>R4-Q4</f>
        <v>91</v>
      </c>
      <c r="S6" s="39">
        <f>S4-R4</f>
        <v>90</v>
      </c>
      <c r="T6" s="3"/>
      <c r="V6" s="3">
        <f>V4-U4</f>
        <v>365</v>
      </c>
      <c r="W6" s="3">
        <f>W4-V4</f>
        <v>366</v>
      </c>
      <c r="X6" s="3">
        <f t="shared" ref="X6:Y6" si="10">X4-W4</f>
        <v>365</v>
      </c>
      <c r="Y6" s="3">
        <f t="shared" si="10"/>
        <v>365</v>
      </c>
    </row>
    <row r="7" spans="1:28" x14ac:dyDescent="0.2">
      <c r="B7" s="1" t="s">
        <v>139</v>
      </c>
    </row>
    <row r="8" spans="1:28" x14ac:dyDescent="0.2">
      <c r="A8" s="1" t="s">
        <v>21</v>
      </c>
      <c r="B8" s="5" t="s">
        <v>15</v>
      </c>
      <c r="C8" s="5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T8" s="6"/>
      <c r="U8" s="6"/>
      <c r="V8" s="6"/>
      <c r="W8" s="6"/>
      <c r="X8" s="6"/>
      <c r="Y8" s="6"/>
    </row>
    <row r="10" spans="1:28" x14ac:dyDescent="0.2">
      <c r="B10" s="1" t="s">
        <v>24</v>
      </c>
      <c r="W10" s="7"/>
      <c r="X10" s="7"/>
      <c r="Y10" s="7"/>
    </row>
    <row r="11" spans="1:28" x14ac:dyDescent="0.2">
      <c r="B11" s="60" t="s">
        <v>25</v>
      </c>
      <c r="C11" s="60"/>
      <c r="D11" s="61">
        <f>+D12+D13</f>
        <v>853.42899999999997</v>
      </c>
      <c r="E11" s="61">
        <f t="shared" ref="E11:F11" si="11">+E12+E13</f>
        <v>883.59799999999996</v>
      </c>
      <c r="F11" s="61">
        <f t="shared" si="11"/>
        <v>919.09500000000003</v>
      </c>
      <c r="G11" s="61">
        <f t="shared" ref="G11:S11" si="12">+G12+G13</f>
        <v>957.57300000000009</v>
      </c>
      <c r="H11" s="61">
        <f t="shared" si="12"/>
        <v>978.97499999999991</v>
      </c>
      <c r="I11" s="61">
        <f t="shared" si="12"/>
        <v>1005.809</v>
      </c>
      <c r="J11" s="61">
        <f t="shared" si="12"/>
        <v>1050.6369999999999</v>
      </c>
      <c r="K11" s="61">
        <f t="shared" si="12"/>
        <v>1109.5910000000001</v>
      </c>
      <c r="L11" s="61">
        <f t="shared" si="12"/>
        <v>1155.9079999999999</v>
      </c>
      <c r="M11" s="61">
        <f t="shared" si="12"/>
        <v>1204.4870000000001</v>
      </c>
      <c r="N11" s="61">
        <f t="shared" si="12"/>
        <v>1274.875</v>
      </c>
      <c r="O11" s="61">
        <f t="shared" si="12"/>
        <v>1303.5719999999999</v>
      </c>
      <c r="P11" s="61">
        <f t="shared" si="12"/>
        <v>1386.9089999999999</v>
      </c>
      <c r="Q11" s="62">
        <f t="shared" si="12"/>
        <v>1446.0459022431762</v>
      </c>
      <c r="R11" s="62">
        <f t="shared" si="12"/>
        <v>1499.8277258420596</v>
      </c>
      <c r="S11" s="62">
        <f t="shared" si="12"/>
        <v>1576.2114848850938</v>
      </c>
      <c r="T11" s="7"/>
      <c r="V11" s="65">
        <f>SUM(D11:G11)</f>
        <v>3613.6950000000006</v>
      </c>
      <c r="W11" s="65">
        <f>SUM(H11:K11)</f>
        <v>4145.0119999999997</v>
      </c>
      <c r="X11" s="65">
        <f>SUM(L11:O11)</f>
        <v>4938.8419999999996</v>
      </c>
      <c r="Y11" s="65">
        <f>SUM(P11:S11)</f>
        <v>5908.9941129703293</v>
      </c>
    </row>
    <row r="12" spans="1:28" x14ac:dyDescent="0.2">
      <c r="B12" s="12" t="s">
        <v>27</v>
      </c>
      <c r="C12" s="12"/>
      <c r="D12" s="7">
        <f>D89</f>
        <v>834.23199999999997</v>
      </c>
      <c r="E12" s="7">
        <f t="shared" ref="E12:F12" si="13">E89</f>
        <v>857.65499999999997</v>
      </c>
      <c r="F12" s="7">
        <f t="shared" si="13"/>
        <v>900.48400000000004</v>
      </c>
      <c r="G12" s="7">
        <f t="shared" ref="G12:R12" si="14">G89</f>
        <v>930.44500000000005</v>
      </c>
      <c r="H12" s="7">
        <f t="shared" si="14"/>
        <v>959.60299999999995</v>
      </c>
      <c r="I12" s="7">
        <f t="shared" si="14"/>
        <v>983.45299999999997</v>
      </c>
      <c r="J12" s="7">
        <f t="shared" si="14"/>
        <v>1028.7339999999999</v>
      </c>
      <c r="K12" s="7">
        <f t="shared" si="14"/>
        <v>1083.604</v>
      </c>
      <c r="L12" s="7">
        <f t="shared" si="14"/>
        <v>1137.5709999999999</v>
      </c>
      <c r="M12" s="7">
        <f t="shared" si="14"/>
        <v>1179.6220000000001</v>
      </c>
      <c r="N12" s="7">
        <f t="shared" si="14"/>
        <v>1235.761</v>
      </c>
      <c r="O12" s="7">
        <f t="shared" si="14"/>
        <v>1277.7149999999999</v>
      </c>
      <c r="P12" s="7">
        <f t="shared" si="14"/>
        <v>1350.6559999999999</v>
      </c>
      <c r="Q12" s="51">
        <f>Q89</f>
        <v>1414.5236522431762</v>
      </c>
      <c r="R12" s="51">
        <f t="shared" si="14"/>
        <v>1466.6411633420596</v>
      </c>
      <c r="S12" s="51">
        <f t="shared" ref="S12" si="15">S89</f>
        <v>1544.5067817600939</v>
      </c>
      <c r="T12" s="7"/>
      <c r="V12" s="30">
        <f>SUM(D12:G12)</f>
        <v>3522.8160000000003</v>
      </c>
      <c r="W12" s="30">
        <f>SUM(H12:K12)</f>
        <v>4055.3940000000002</v>
      </c>
      <c r="X12" s="30">
        <f>SUM(L12:O12)</f>
        <v>4830.6689999999999</v>
      </c>
      <c r="Y12" s="78">
        <f>SUM(P12:S12)</f>
        <v>5776.3275973453292</v>
      </c>
      <c r="Z12" s="1" t="s">
        <v>213</v>
      </c>
    </row>
    <row r="13" spans="1:28" x14ac:dyDescent="0.2">
      <c r="B13" s="12" t="s">
        <v>33</v>
      </c>
      <c r="C13" s="12"/>
      <c r="D13" s="7">
        <f>D150</f>
        <v>19.196999999999999</v>
      </c>
      <c r="E13" s="7">
        <f t="shared" ref="E13:F13" si="16">E150</f>
        <v>25.943000000000001</v>
      </c>
      <c r="F13" s="7">
        <f t="shared" si="16"/>
        <v>18.611000000000001</v>
      </c>
      <c r="G13" s="7">
        <f t="shared" ref="G13:R13" si="17">G150</f>
        <v>27.128</v>
      </c>
      <c r="H13" s="7">
        <f t="shared" si="17"/>
        <v>19.372</v>
      </c>
      <c r="I13" s="7">
        <f t="shared" si="17"/>
        <v>22.356000000000002</v>
      </c>
      <c r="J13" s="7">
        <f t="shared" si="17"/>
        <v>21.902999999999999</v>
      </c>
      <c r="K13" s="7">
        <f t="shared" si="17"/>
        <v>25.986999999999998</v>
      </c>
      <c r="L13" s="7">
        <f t="shared" si="17"/>
        <v>18.337</v>
      </c>
      <c r="M13" s="7">
        <f t="shared" si="17"/>
        <v>24.864999999999998</v>
      </c>
      <c r="N13" s="7">
        <f t="shared" si="17"/>
        <v>39.113999999999997</v>
      </c>
      <c r="O13" s="7">
        <f t="shared" si="17"/>
        <v>25.856999999999999</v>
      </c>
      <c r="P13" s="7">
        <f t="shared" si="17"/>
        <v>36.253</v>
      </c>
      <c r="Q13" s="51">
        <f t="shared" si="17"/>
        <v>31.52225</v>
      </c>
      <c r="R13" s="51">
        <f t="shared" si="17"/>
        <v>33.186562500000001</v>
      </c>
      <c r="S13" s="51">
        <f>S150</f>
        <v>31.704703125000002</v>
      </c>
      <c r="T13" s="7"/>
      <c r="V13" s="30">
        <f>SUM(D13:G13)</f>
        <v>90.879000000000005</v>
      </c>
      <c r="W13" s="30">
        <f>SUM(H13:K13)</f>
        <v>89.617999999999995</v>
      </c>
      <c r="X13" s="30">
        <f>SUM(L13:O13)</f>
        <v>108.173</v>
      </c>
      <c r="Y13" s="30">
        <f>SUM(P13:S13)</f>
        <v>132.66651562500002</v>
      </c>
    </row>
    <row r="14" spans="1:28" x14ac:dyDescent="0.2">
      <c r="B14" s="60" t="s">
        <v>26</v>
      </c>
      <c r="C14" s="60"/>
      <c r="D14" s="61">
        <f>+D17+D18</f>
        <v>61.795000000000002</v>
      </c>
      <c r="E14" s="61">
        <f t="shared" ref="E14:F14" si="18">+E17+E18</f>
        <v>71.942000000000007</v>
      </c>
      <c r="F14" s="61">
        <f t="shared" si="18"/>
        <v>90.584999999999994</v>
      </c>
      <c r="G14" s="61">
        <f t="shared" ref="G14:S14" si="19">+G17+G18</f>
        <v>92.706999999999994</v>
      </c>
      <c r="H14" s="61">
        <f t="shared" si="19"/>
        <v>100.751</v>
      </c>
      <c r="I14" s="61">
        <f t="shared" si="19"/>
        <v>100.91199999999999</v>
      </c>
      <c r="J14" s="61">
        <f t="shared" si="19"/>
        <v>108.753</v>
      </c>
      <c r="K14" s="61">
        <f t="shared" si="19"/>
        <v>109.932</v>
      </c>
      <c r="L14" s="61">
        <f t="shared" si="19"/>
        <v>121.10899999999999</v>
      </c>
      <c r="M14" s="61">
        <f t="shared" si="19"/>
        <v>139.40700000000001</v>
      </c>
      <c r="N14" s="61">
        <f t="shared" si="19"/>
        <v>134.95499999999998</v>
      </c>
      <c r="O14" s="61">
        <f t="shared" si="19"/>
        <v>144.80700000000002</v>
      </c>
      <c r="P14" s="61">
        <f t="shared" si="19"/>
        <v>177.03799999999998</v>
      </c>
      <c r="Q14" s="62">
        <f t="shared" si="19"/>
        <v>184.73285000000001</v>
      </c>
      <c r="R14" s="62">
        <f t="shared" si="19"/>
        <v>135.155</v>
      </c>
      <c r="S14" s="62">
        <f t="shared" si="19"/>
        <v>145.00700000000001</v>
      </c>
      <c r="T14" s="7"/>
      <c r="V14" s="65">
        <f>SUM(D14:G14)</f>
        <v>317.029</v>
      </c>
      <c r="W14" s="65">
        <f>SUM(H14:K14)</f>
        <v>420.34800000000001</v>
      </c>
      <c r="X14" s="65">
        <f>SUM(L14:O14)</f>
        <v>540.27800000000002</v>
      </c>
      <c r="Y14" s="65">
        <f>SUM(P14:S14)</f>
        <v>641.93284999999992</v>
      </c>
    </row>
    <row r="15" spans="1:28" outlineLevel="1" x14ac:dyDescent="0.2">
      <c r="B15" s="58" t="s">
        <v>140</v>
      </c>
      <c r="C15" s="60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42">
        <f>Q14/M14-1</f>
        <v>0.32513324295049739</v>
      </c>
      <c r="R15" s="42">
        <f t="shared" ref="R15:S15" si="20">R14/N14-1</f>
        <v>1.4819754733059742E-3</v>
      </c>
      <c r="S15" s="42">
        <f t="shared" si="20"/>
        <v>1.3811487013748458E-3</v>
      </c>
      <c r="T15" s="7"/>
      <c r="V15" s="65"/>
      <c r="W15" s="65"/>
      <c r="X15" s="65"/>
      <c r="Y15" s="65"/>
    </row>
    <row r="16" spans="1:28" outlineLevel="1" x14ac:dyDescent="0.2">
      <c r="B16" s="75" t="s">
        <v>211</v>
      </c>
      <c r="C16" s="60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48">
        <v>0.19999713070362324</v>
      </c>
      <c r="R16" s="48">
        <v>0.20000000000000018</v>
      </c>
      <c r="S16" s="48">
        <v>0.19997652047207648</v>
      </c>
      <c r="T16" s="7"/>
      <c r="V16" s="65"/>
      <c r="W16" s="65"/>
      <c r="X16" s="65"/>
      <c r="Y16" s="65"/>
    </row>
    <row r="17" spans="2:25" x14ac:dyDescent="0.2">
      <c r="B17" s="12" t="s">
        <v>27</v>
      </c>
      <c r="C17" s="12"/>
      <c r="D17" s="27">
        <f>D162</f>
        <v>2.165</v>
      </c>
      <c r="E17" s="27">
        <f t="shared" ref="E17:S17" si="21">E162</f>
        <v>2.6760000000000002</v>
      </c>
      <c r="F17" s="27">
        <f t="shared" si="21"/>
        <v>3.431</v>
      </c>
      <c r="G17" s="27">
        <f t="shared" si="21"/>
        <v>4.7169999999999996</v>
      </c>
      <c r="H17" s="27">
        <f t="shared" si="21"/>
        <v>4.165</v>
      </c>
      <c r="I17" s="27">
        <f t="shared" si="21"/>
        <v>2.532</v>
      </c>
      <c r="J17" s="27">
        <f t="shared" si="21"/>
        <v>3.2080000000000002</v>
      </c>
      <c r="K17" s="27">
        <f t="shared" si="21"/>
        <v>2.8780000000000001</v>
      </c>
      <c r="L17" s="27">
        <f t="shared" si="21"/>
        <v>3.488</v>
      </c>
      <c r="M17" s="27">
        <f t="shared" si="21"/>
        <v>2.6619999999999999</v>
      </c>
      <c r="N17" s="27">
        <f t="shared" si="21"/>
        <v>3.3380000000000001</v>
      </c>
      <c r="O17" s="27">
        <f t="shared" si="21"/>
        <v>3.5910000000000002</v>
      </c>
      <c r="P17" s="27">
        <f t="shared" si="21"/>
        <v>3.0760000000000001</v>
      </c>
      <c r="Q17" s="51">
        <f t="shared" si="21"/>
        <v>2.8620000000000001</v>
      </c>
      <c r="R17" s="51">
        <f t="shared" si="21"/>
        <v>3.5380000000000003</v>
      </c>
      <c r="S17" s="51">
        <f t="shared" si="21"/>
        <v>3.7910000000000004</v>
      </c>
      <c r="T17" s="7"/>
      <c r="V17" s="30">
        <f>SUM(D17:G17)</f>
        <v>12.989000000000001</v>
      </c>
      <c r="W17" s="30">
        <f>SUM(H17:K17)</f>
        <v>12.783000000000001</v>
      </c>
      <c r="X17" s="30">
        <f>SUM(L17:O17)</f>
        <v>13.079000000000001</v>
      </c>
      <c r="Y17" s="30">
        <f>SUM(P17:S17)</f>
        <v>13.267000000000001</v>
      </c>
    </row>
    <row r="18" spans="2:25" x14ac:dyDescent="0.2">
      <c r="B18" s="12" t="s">
        <v>34</v>
      </c>
      <c r="C18" s="12"/>
      <c r="D18" s="1">
        <f>D154</f>
        <v>59.63</v>
      </c>
      <c r="E18" s="1">
        <f t="shared" ref="E18:S18" si="22">E154</f>
        <v>69.266000000000005</v>
      </c>
      <c r="F18" s="1">
        <f t="shared" si="22"/>
        <v>87.153999999999996</v>
      </c>
      <c r="G18" s="1">
        <f t="shared" si="22"/>
        <v>87.99</v>
      </c>
      <c r="H18" s="1">
        <f t="shared" si="22"/>
        <v>96.585999999999999</v>
      </c>
      <c r="I18" s="1">
        <f t="shared" si="22"/>
        <v>98.38</v>
      </c>
      <c r="J18" s="1">
        <f t="shared" si="22"/>
        <v>105.545</v>
      </c>
      <c r="K18" s="1">
        <f t="shared" si="22"/>
        <v>107.054</v>
      </c>
      <c r="L18" s="1">
        <f t="shared" si="22"/>
        <v>117.621</v>
      </c>
      <c r="M18" s="1">
        <f t="shared" si="22"/>
        <v>136.745</v>
      </c>
      <c r="N18" s="1">
        <f t="shared" si="22"/>
        <v>131.61699999999999</v>
      </c>
      <c r="O18" s="1">
        <f t="shared" si="22"/>
        <v>141.21600000000001</v>
      </c>
      <c r="P18" s="1">
        <f t="shared" si="22"/>
        <v>173.96199999999999</v>
      </c>
      <c r="Q18" s="51">
        <f t="shared" si="22"/>
        <v>181.87085000000002</v>
      </c>
      <c r="R18" s="51">
        <f t="shared" si="22"/>
        <v>131.61699999999999</v>
      </c>
      <c r="S18" s="51">
        <f t="shared" si="22"/>
        <v>141.21600000000001</v>
      </c>
      <c r="T18" s="7"/>
      <c r="V18" s="30">
        <f>SUM(D18:G18)</f>
        <v>304.04000000000002</v>
      </c>
      <c r="W18" s="30">
        <f>SUM(H18:K18)</f>
        <v>407.56500000000005</v>
      </c>
      <c r="X18" s="30">
        <f>SUM(L18:O18)</f>
        <v>527.19899999999996</v>
      </c>
      <c r="Y18" s="30">
        <f>SUM(P18:S18)</f>
        <v>628.66584999999998</v>
      </c>
    </row>
    <row r="19" spans="2:25" x14ac:dyDescent="0.2">
      <c r="B19" s="15" t="s">
        <v>35</v>
      </c>
      <c r="C19" s="15"/>
      <c r="D19" s="16">
        <f>+D14+D11</f>
        <v>915.22399999999993</v>
      </c>
      <c r="E19" s="16">
        <f t="shared" ref="E19:F19" si="23">+E14+E11</f>
        <v>955.54</v>
      </c>
      <c r="F19" s="16">
        <f t="shared" si="23"/>
        <v>1009.6800000000001</v>
      </c>
      <c r="G19" s="16">
        <f t="shared" ref="G19:R19" si="24">+G14+G11</f>
        <v>1050.2800000000002</v>
      </c>
      <c r="H19" s="16">
        <f t="shared" si="24"/>
        <v>1079.7259999999999</v>
      </c>
      <c r="I19" s="16">
        <f t="shared" si="24"/>
        <v>1106.721</v>
      </c>
      <c r="J19" s="16">
        <f t="shared" si="24"/>
        <v>1159.3899999999999</v>
      </c>
      <c r="K19" s="16">
        <f t="shared" si="24"/>
        <v>1219.5230000000001</v>
      </c>
      <c r="L19" s="16">
        <f t="shared" si="24"/>
        <v>1277.0169999999998</v>
      </c>
      <c r="M19" s="16">
        <f t="shared" si="24"/>
        <v>1343.894</v>
      </c>
      <c r="N19" s="16">
        <f t="shared" si="24"/>
        <v>1409.83</v>
      </c>
      <c r="O19" s="16">
        <f t="shared" si="24"/>
        <v>1448.3789999999999</v>
      </c>
      <c r="P19" s="16">
        <f t="shared" si="24"/>
        <v>1563.9469999999999</v>
      </c>
      <c r="Q19" s="52">
        <f t="shared" si="24"/>
        <v>1630.7787522431763</v>
      </c>
      <c r="R19" s="52">
        <f t="shared" si="24"/>
        <v>1634.9827258420596</v>
      </c>
      <c r="S19" s="52">
        <f t="shared" ref="S19" si="25">+S14+S11</f>
        <v>1721.2184848850939</v>
      </c>
      <c r="T19" s="16"/>
      <c r="U19" s="15"/>
      <c r="V19" s="33">
        <f>SUM(D19:G19)</f>
        <v>3930.7240000000002</v>
      </c>
      <c r="W19" s="33">
        <f>SUM(H19:K19)</f>
        <v>4565.3600000000006</v>
      </c>
      <c r="X19" s="33">
        <f>SUM(L19:O19)</f>
        <v>5479.12</v>
      </c>
      <c r="Y19" s="33">
        <f>SUM(P19:S19)</f>
        <v>6550.9269629703304</v>
      </c>
    </row>
    <row r="20" spans="2:25" x14ac:dyDescent="0.2">
      <c r="B20" s="29" t="s">
        <v>140</v>
      </c>
      <c r="H20" s="26">
        <f>H19/D19-1</f>
        <v>0.17973960473064521</v>
      </c>
      <c r="I20" s="26">
        <f t="shared" ref="I20:P20" si="26">I19/E19-1</f>
        <v>0.15821525001569792</v>
      </c>
      <c r="J20" s="26">
        <f t="shared" si="26"/>
        <v>0.1482747008953329</v>
      </c>
      <c r="K20" s="26">
        <f t="shared" si="26"/>
        <v>0.16114083863350714</v>
      </c>
      <c r="L20" s="26">
        <f t="shared" si="26"/>
        <v>0.18272320940683096</v>
      </c>
      <c r="M20" s="26">
        <f t="shared" si="26"/>
        <v>0.21430243033248675</v>
      </c>
      <c r="N20" s="26">
        <f t="shared" si="26"/>
        <v>0.21601014326499279</v>
      </c>
      <c r="O20" s="26">
        <f t="shared" si="26"/>
        <v>0.18766025733011982</v>
      </c>
      <c r="P20" s="26">
        <f t="shared" si="26"/>
        <v>0.22468769014038181</v>
      </c>
      <c r="Q20" s="42">
        <f t="shared" ref="Q20" si="27">Q19/M19-1</f>
        <v>0.21347275324034221</v>
      </c>
      <c r="R20" s="42">
        <f t="shared" ref="R20:S20" si="28">R19/N19-1</f>
        <v>0.15970203914093162</v>
      </c>
      <c r="S20" s="42">
        <f t="shared" si="28"/>
        <v>0.18837575309024368</v>
      </c>
      <c r="T20" s="26"/>
      <c r="V20" s="30">
        <f>SUM(D20:G20)</f>
        <v>0</v>
      </c>
      <c r="W20" s="32">
        <f>W19/V19-1</f>
        <v>0.16145524335974759</v>
      </c>
      <c r="X20" s="32">
        <f t="shared" ref="X20:Y20" si="29">X19/W19-1</f>
        <v>0.2001507000543219</v>
      </c>
      <c r="Y20" s="32">
        <f t="shared" si="29"/>
        <v>0.19561662510956701</v>
      </c>
    </row>
    <row r="21" spans="2:25" x14ac:dyDescent="0.2">
      <c r="B21" s="35" t="s">
        <v>211</v>
      </c>
      <c r="Q21" s="48">
        <v>0.19</v>
      </c>
      <c r="R21" s="48">
        <v>0.19</v>
      </c>
      <c r="S21" s="48">
        <v>0.19</v>
      </c>
    </row>
    <row r="22" spans="2:25" x14ac:dyDescent="0.2">
      <c r="L22"/>
      <c r="M22"/>
      <c r="N22"/>
      <c r="O22" t="s">
        <v>245</v>
      </c>
      <c r="P22"/>
      <c r="Q22" s="77"/>
      <c r="R22" s="53"/>
      <c r="S22" s="53"/>
    </row>
    <row r="23" spans="2:25" x14ac:dyDescent="0.2">
      <c r="J23"/>
      <c r="K23"/>
      <c r="L23"/>
      <c r="M23"/>
      <c r="N23"/>
      <c r="O23"/>
      <c r="P23"/>
      <c r="Q23" s="77"/>
      <c r="R23" s="77"/>
      <c r="S23" s="77"/>
    </row>
    <row r="24" spans="2:25" x14ac:dyDescent="0.2">
      <c r="B24" s="1" t="s">
        <v>147</v>
      </c>
      <c r="J24"/>
      <c r="K24"/>
      <c r="L24"/>
      <c r="M24"/>
      <c r="N24"/>
      <c r="O24"/>
      <c r="P24"/>
      <c r="Q24" s="77"/>
      <c r="R24" s="77"/>
      <c r="S24" s="77"/>
    </row>
    <row r="25" spans="2:25" x14ac:dyDescent="0.2">
      <c r="B25" s="60" t="s">
        <v>25</v>
      </c>
      <c r="D25" s="79">
        <f>D172</f>
        <v>0</v>
      </c>
      <c r="E25" s="79">
        <f t="shared" ref="E25:P25" si="30">E172</f>
        <v>0</v>
      </c>
      <c r="F25" s="79">
        <f t="shared" si="30"/>
        <v>0</v>
      </c>
      <c r="G25" s="79">
        <f t="shared" si="30"/>
        <v>0</v>
      </c>
      <c r="H25" s="79">
        <f t="shared" si="30"/>
        <v>0</v>
      </c>
      <c r="I25" s="79">
        <f t="shared" si="30"/>
        <v>0</v>
      </c>
      <c r="J25" s="79">
        <f t="shared" si="30"/>
        <v>0</v>
      </c>
      <c r="K25" s="79">
        <f t="shared" si="30"/>
        <v>0</v>
      </c>
      <c r="L25" s="79">
        <f t="shared" si="30"/>
        <v>-318</v>
      </c>
      <c r="M25" s="79">
        <f t="shared" si="30"/>
        <v>0</v>
      </c>
      <c r="N25" s="79">
        <f t="shared" si="30"/>
        <v>0</v>
      </c>
      <c r="O25" s="79">
        <f t="shared" si="30"/>
        <v>0</v>
      </c>
      <c r="P25" s="79">
        <f t="shared" si="30"/>
        <v>-374</v>
      </c>
      <c r="Q25" s="77"/>
      <c r="R25" s="42"/>
      <c r="S25" s="42"/>
      <c r="V25" s="30">
        <f>SUM(D25:G25)</f>
        <v>0</v>
      </c>
      <c r="W25" s="30">
        <f>SUM(H25:K25)</f>
        <v>0</v>
      </c>
      <c r="X25" s="30">
        <f>SUM(L25:O25)</f>
        <v>-318</v>
      </c>
      <c r="Y25" s="30">
        <f>SUM(P25:S25)</f>
        <v>-374</v>
      </c>
    </row>
    <row r="26" spans="2:25" x14ac:dyDescent="0.2">
      <c r="B26" s="60" t="s">
        <v>26</v>
      </c>
      <c r="D26" s="79">
        <f>D175</f>
        <v>0</v>
      </c>
      <c r="E26" s="79">
        <f t="shared" ref="E26:P26" si="31">E175</f>
        <v>0</v>
      </c>
      <c r="F26" s="79">
        <f t="shared" si="31"/>
        <v>0</v>
      </c>
      <c r="G26" s="79">
        <f t="shared" si="31"/>
        <v>0</v>
      </c>
      <c r="H26" s="79">
        <f t="shared" si="31"/>
        <v>0</v>
      </c>
      <c r="I26" s="79">
        <f t="shared" si="31"/>
        <v>0</v>
      </c>
      <c r="J26" s="79">
        <f t="shared" si="31"/>
        <v>0</v>
      </c>
      <c r="K26" s="79">
        <f t="shared" si="31"/>
        <v>0</v>
      </c>
      <c r="L26" s="79">
        <f t="shared" si="31"/>
        <v>-85</v>
      </c>
      <c r="M26" s="79">
        <f t="shared" si="31"/>
        <v>0</v>
      </c>
      <c r="N26" s="79">
        <f t="shared" si="31"/>
        <v>0</v>
      </c>
      <c r="O26" s="79">
        <f t="shared" si="31"/>
        <v>0</v>
      </c>
      <c r="P26" s="79">
        <f t="shared" si="31"/>
        <v>-121</v>
      </c>
      <c r="Q26" s="77"/>
      <c r="R26" s="53"/>
      <c r="S26" s="53"/>
      <c r="V26" s="30">
        <f>SUM(D26:G26)</f>
        <v>0</v>
      </c>
      <c r="W26" s="30">
        <f>SUM(H26:K26)</f>
        <v>0</v>
      </c>
      <c r="X26" s="30">
        <f>SUM(L26:O26)</f>
        <v>-85</v>
      </c>
      <c r="Y26" s="30">
        <f>SUM(P26:S26)</f>
        <v>-121</v>
      </c>
    </row>
    <row r="27" spans="2:25" x14ac:dyDescent="0.2">
      <c r="B27" s="15" t="s">
        <v>214</v>
      </c>
      <c r="C27" s="15"/>
      <c r="D27" s="81">
        <f>+D25+D26</f>
        <v>0</v>
      </c>
      <c r="E27" s="81">
        <f t="shared" ref="E27:S27" si="32">+E25+E26</f>
        <v>0</v>
      </c>
      <c r="F27" s="81">
        <f t="shared" si="32"/>
        <v>0</v>
      </c>
      <c r="G27" s="81">
        <f t="shared" si="32"/>
        <v>0</v>
      </c>
      <c r="H27" s="81">
        <f t="shared" si="32"/>
        <v>0</v>
      </c>
      <c r="I27" s="81">
        <f t="shared" si="32"/>
        <v>0</v>
      </c>
      <c r="J27" s="81">
        <f t="shared" si="32"/>
        <v>0</v>
      </c>
      <c r="K27" s="81">
        <f t="shared" si="32"/>
        <v>0</v>
      </c>
      <c r="L27" s="81">
        <f t="shared" si="32"/>
        <v>-403</v>
      </c>
      <c r="M27" s="81">
        <f t="shared" si="32"/>
        <v>0</v>
      </c>
      <c r="N27" s="81">
        <f t="shared" si="32"/>
        <v>0</v>
      </c>
      <c r="O27" s="81">
        <f t="shared" si="32"/>
        <v>0</v>
      </c>
      <c r="P27" s="81">
        <f t="shared" si="32"/>
        <v>-495</v>
      </c>
      <c r="Q27" s="83">
        <f t="shared" si="32"/>
        <v>0</v>
      </c>
      <c r="R27" s="83">
        <f t="shared" si="32"/>
        <v>0</v>
      </c>
      <c r="S27" s="83">
        <f t="shared" si="32"/>
        <v>0</v>
      </c>
      <c r="T27" s="15"/>
      <c r="U27" s="15"/>
      <c r="V27" s="33">
        <f>SUM(D27:G27)</f>
        <v>0</v>
      </c>
      <c r="W27" s="33">
        <f>SUM(H27:K27)</f>
        <v>0</v>
      </c>
      <c r="X27" s="33">
        <f>SUM(L27:O27)</f>
        <v>-403</v>
      </c>
      <c r="Y27" s="33">
        <f>SUM(P27:S27)</f>
        <v>-495</v>
      </c>
    </row>
    <row r="28" spans="2:25" x14ac:dyDescent="0.2">
      <c r="Q28" s="55"/>
      <c r="R28" s="53"/>
      <c r="S28" s="53"/>
    </row>
    <row r="29" spans="2:25" x14ac:dyDescent="0.2">
      <c r="B29" s="1" t="s">
        <v>215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40"/>
      <c r="R29" s="40"/>
      <c r="S29" s="40"/>
      <c r="V29" s="30">
        <f>SUM(D29:G29)</f>
        <v>0</v>
      </c>
      <c r="W29" s="30">
        <f>SUM(H29:K29)</f>
        <v>0</v>
      </c>
      <c r="X29" s="30">
        <f>SUM(L29:O29)</f>
        <v>0</v>
      </c>
      <c r="Y29" s="30">
        <f>SUM(P29:S29)</f>
        <v>0</v>
      </c>
    </row>
    <row r="30" spans="2:25" outlineLevel="1" x14ac:dyDescent="0.2">
      <c r="B30" s="9" t="s">
        <v>216</v>
      </c>
      <c r="D30" s="7">
        <f>D11+D25</f>
        <v>853.42899999999997</v>
      </c>
      <c r="E30" s="7">
        <f t="shared" ref="E30:S30" si="33">E11+E25</f>
        <v>883.59799999999996</v>
      </c>
      <c r="F30" s="7">
        <f t="shared" si="33"/>
        <v>919.09500000000003</v>
      </c>
      <c r="G30" s="7">
        <f t="shared" si="33"/>
        <v>957.57300000000009</v>
      </c>
      <c r="H30" s="7">
        <f t="shared" si="33"/>
        <v>978.97499999999991</v>
      </c>
      <c r="I30" s="7">
        <f t="shared" si="33"/>
        <v>1005.809</v>
      </c>
      <c r="J30" s="7">
        <f t="shared" si="33"/>
        <v>1050.6369999999999</v>
      </c>
      <c r="K30" s="7">
        <f t="shared" si="33"/>
        <v>1109.5910000000001</v>
      </c>
      <c r="L30" s="7">
        <f t="shared" si="33"/>
        <v>837.9079999999999</v>
      </c>
      <c r="M30" s="7">
        <f t="shared" si="33"/>
        <v>1204.4870000000001</v>
      </c>
      <c r="N30" s="7">
        <f t="shared" si="33"/>
        <v>1274.875</v>
      </c>
      <c r="O30" s="7">
        <f t="shared" si="33"/>
        <v>1303.5719999999999</v>
      </c>
      <c r="P30" s="7">
        <f t="shared" si="33"/>
        <v>1012.9089999999999</v>
      </c>
      <c r="Q30" s="40">
        <f t="shared" si="33"/>
        <v>1446.0459022431762</v>
      </c>
      <c r="R30" s="40">
        <f t="shared" si="33"/>
        <v>1499.8277258420596</v>
      </c>
      <c r="S30" s="40">
        <f t="shared" si="33"/>
        <v>1576.2114848850938</v>
      </c>
      <c r="V30" s="30">
        <f>SUM(D30:G30)</f>
        <v>3613.6950000000006</v>
      </c>
      <c r="W30" s="30">
        <f>SUM(H30:K30)</f>
        <v>4145.0119999999997</v>
      </c>
      <c r="X30" s="30">
        <f>SUM(L30:O30)</f>
        <v>4620.8419999999996</v>
      </c>
      <c r="Y30" s="30">
        <f>SUM(P30:S30)</f>
        <v>5534.9941129703293</v>
      </c>
    </row>
    <row r="31" spans="2:25" outlineLevel="2" x14ac:dyDescent="0.2">
      <c r="B31" s="47" t="s">
        <v>218</v>
      </c>
      <c r="D31" s="26">
        <f>D30/D11</f>
        <v>1</v>
      </c>
      <c r="E31" s="26">
        <f t="shared" ref="E31:S31" si="34">E30/E11</f>
        <v>1</v>
      </c>
      <c r="F31" s="26">
        <f t="shared" si="34"/>
        <v>1</v>
      </c>
      <c r="G31" s="26">
        <f t="shared" si="34"/>
        <v>1</v>
      </c>
      <c r="H31" s="26">
        <f t="shared" si="34"/>
        <v>1</v>
      </c>
      <c r="I31" s="26">
        <f t="shared" si="34"/>
        <v>1</v>
      </c>
      <c r="J31" s="26">
        <f t="shared" si="34"/>
        <v>1</v>
      </c>
      <c r="K31" s="26">
        <f t="shared" si="34"/>
        <v>1</v>
      </c>
      <c r="L31" s="26">
        <f t="shared" si="34"/>
        <v>0.72489160036957956</v>
      </c>
      <c r="M31" s="26">
        <f t="shared" si="34"/>
        <v>1</v>
      </c>
      <c r="N31" s="26">
        <f t="shared" si="34"/>
        <v>1</v>
      </c>
      <c r="O31" s="26">
        <f t="shared" si="34"/>
        <v>1</v>
      </c>
      <c r="P31" s="26">
        <f t="shared" si="34"/>
        <v>0.73033558798738774</v>
      </c>
      <c r="Q31" s="42">
        <f t="shared" si="34"/>
        <v>1</v>
      </c>
      <c r="R31" s="42">
        <f t="shared" si="34"/>
        <v>1</v>
      </c>
      <c r="S31" s="42">
        <f t="shared" si="34"/>
        <v>1</v>
      </c>
      <c r="V31" s="26">
        <f t="shared" ref="V31" si="35">V30/V11</f>
        <v>1</v>
      </c>
      <c r="W31" s="26">
        <f t="shared" ref="W31" si="36">W30/W11</f>
        <v>1</v>
      </c>
      <c r="X31" s="26">
        <f t="shared" ref="X31" si="37">X30/X11</f>
        <v>0.93561243708545438</v>
      </c>
      <c r="Y31" s="26">
        <f t="shared" ref="Y31" si="38">Y30/Y11</f>
        <v>0.93670665550688825</v>
      </c>
    </row>
    <row r="32" spans="2:25" outlineLevel="2" x14ac:dyDescent="0.2">
      <c r="B32" s="47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42"/>
      <c r="R32" s="42"/>
      <c r="S32" s="42"/>
      <c r="V32" s="26"/>
      <c r="W32" s="26"/>
      <c r="X32" s="26"/>
      <c r="Y32" s="26"/>
    </row>
    <row r="33" spans="2:25" outlineLevel="1" x14ac:dyDescent="0.2">
      <c r="B33" s="9" t="s">
        <v>217</v>
      </c>
      <c r="D33" s="7">
        <f>D14+D26</f>
        <v>61.795000000000002</v>
      </c>
      <c r="E33" s="7">
        <f t="shared" ref="E33:S33" si="39">E14+E26</f>
        <v>71.942000000000007</v>
      </c>
      <c r="F33" s="7">
        <f t="shared" si="39"/>
        <v>90.584999999999994</v>
      </c>
      <c r="G33" s="7">
        <f t="shared" si="39"/>
        <v>92.706999999999994</v>
      </c>
      <c r="H33" s="7">
        <f t="shared" si="39"/>
        <v>100.751</v>
      </c>
      <c r="I33" s="7">
        <f t="shared" si="39"/>
        <v>100.91199999999999</v>
      </c>
      <c r="J33" s="7">
        <f t="shared" si="39"/>
        <v>108.753</v>
      </c>
      <c r="K33" s="7">
        <f t="shared" si="39"/>
        <v>109.932</v>
      </c>
      <c r="L33" s="7">
        <f t="shared" si="39"/>
        <v>36.108999999999995</v>
      </c>
      <c r="M33" s="7">
        <f t="shared" si="39"/>
        <v>139.40700000000001</v>
      </c>
      <c r="N33" s="7">
        <f t="shared" si="39"/>
        <v>134.95499999999998</v>
      </c>
      <c r="O33" s="7">
        <f t="shared" si="39"/>
        <v>144.80700000000002</v>
      </c>
      <c r="P33" s="7">
        <f t="shared" si="39"/>
        <v>56.037999999999982</v>
      </c>
      <c r="Q33" s="40">
        <f t="shared" si="39"/>
        <v>184.73285000000001</v>
      </c>
      <c r="R33" s="40">
        <f t="shared" si="39"/>
        <v>135.155</v>
      </c>
      <c r="S33" s="40">
        <f t="shared" si="39"/>
        <v>145.00700000000001</v>
      </c>
      <c r="V33" s="30">
        <f>SUM(D33:G33)</f>
        <v>317.029</v>
      </c>
      <c r="W33" s="30">
        <f>SUM(H33:K33)</f>
        <v>420.34800000000001</v>
      </c>
      <c r="X33" s="30">
        <f>SUM(L33:O33)</f>
        <v>455.27800000000002</v>
      </c>
      <c r="Y33" s="30">
        <f>SUM(P33:S33)</f>
        <v>520.93284999999992</v>
      </c>
    </row>
    <row r="34" spans="2:25" outlineLevel="1" x14ac:dyDescent="0.2">
      <c r="B34" s="47" t="s">
        <v>219</v>
      </c>
      <c r="D34" s="26">
        <f>D33/D14</f>
        <v>1</v>
      </c>
      <c r="E34" s="26">
        <f t="shared" ref="E34:S34" si="40">E33/E14</f>
        <v>1</v>
      </c>
      <c r="F34" s="26">
        <f t="shared" si="40"/>
        <v>1</v>
      </c>
      <c r="G34" s="26">
        <f t="shared" si="40"/>
        <v>1</v>
      </c>
      <c r="H34" s="26">
        <f t="shared" si="40"/>
        <v>1</v>
      </c>
      <c r="I34" s="26">
        <f t="shared" si="40"/>
        <v>1</v>
      </c>
      <c r="J34" s="26">
        <f t="shared" si="40"/>
        <v>1</v>
      </c>
      <c r="K34" s="26">
        <f t="shared" si="40"/>
        <v>1</v>
      </c>
      <c r="L34" s="26">
        <f t="shared" si="40"/>
        <v>0.29815290358272295</v>
      </c>
      <c r="M34" s="26">
        <f t="shared" si="40"/>
        <v>1</v>
      </c>
      <c r="N34" s="26">
        <f t="shared" si="40"/>
        <v>1</v>
      </c>
      <c r="O34" s="26">
        <f t="shared" si="40"/>
        <v>1</v>
      </c>
      <c r="P34" s="26">
        <f t="shared" si="40"/>
        <v>0.31653091426699348</v>
      </c>
      <c r="Q34" s="42">
        <f t="shared" si="40"/>
        <v>1</v>
      </c>
      <c r="R34" s="42">
        <f t="shared" si="40"/>
        <v>1</v>
      </c>
      <c r="S34" s="42">
        <f t="shared" si="40"/>
        <v>1</v>
      </c>
      <c r="V34" s="26">
        <f t="shared" ref="V34" si="41">V33/V14</f>
        <v>1</v>
      </c>
      <c r="W34" s="26">
        <f t="shared" ref="W34" si="42">W33/W14</f>
        <v>1</v>
      </c>
      <c r="X34" s="26">
        <f t="shared" ref="X34" si="43">X33/X14</f>
        <v>0.84267358656099267</v>
      </c>
      <c r="Y34" s="26">
        <f t="shared" ref="Y34" si="44">Y33/Y14</f>
        <v>0.81150676429785451</v>
      </c>
    </row>
    <row r="35" spans="2:25" outlineLevel="1" x14ac:dyDescent="0.2">
      <c r="B35" s="47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42"/>
      <c r="R35" s="42"/>
      <c r="S35" s="42"/>
      <c r="V35" s="26"/>
      <c r="W35" s="26"/>
      <c r="X35" s="26"/>
      <c r="Y35" s="26"/>
    </row>
    <row r="36" spans="2:25" s="15" customFormat="1" x14ac:dyDescent="0.2">
      <c r="B36" s="15" t="s">
        <v>230</v>
      </c>
      <c r="D36" s="16">
        <f>+D33+D30</f>
        <v>915.22399999999993</v>
      </c>
      <c r="E36" s="16">
        <f t="shared" ref="E36:S36" si="45">+E33+E30</f>
        <v>955.54</v>
      </c>
      <c r="F36" s="16">
        <f t="shared" si="45"/>
        <v>1009.6800000000001</v>
      </c>
      <c r="G36" s="16">
        <f t="shared" si="45"/>
        <v>1050.2800000000002</v>
      </c>
      <c r="H36" s="16">
        <f t="shared" si="45"/>
        <v>1079.7259999999999</v>
      </c>
      <c r="I36" s="16">
        <f t="shared" si="45"/>
        <v>1106.721</v>
      </c>
      <c r="J36" s="16">
        <f t="shared" si="45"/>
        <v>1159.3899999999999</v>
      </c>
      <c r="K36" s="16">
        <f t="shared" si="45"/>
        <v>1219.5230000000001</v>
      </c>
      <c r="L36" s="16">
        <f t="shared" si="45"/>
        <v>874.01699999999994</v>
      </c>
      <c r="M36" s="16">
        <f t="shared" si="45"/>
        <v>1343.894</v>
      </c>
      <c r="N36" s="16">
        <f t="shared" si="45"/>
        <v>1409.83</v>
      </c>
      <c r="O36" s="16">
        <f t="shared" si="45"/>
        <v>1448.3789999999999</v>
      </c>
      <c r="P36" s="16">
        <f t="shared" si="45"/>
        <v>1068.9469999999999</v>
      </c>
      <c r="Q36" s="41">
        <f t="shared" si="45"/>
        <v>1630.7787522431763</v>
      </c>
      <c r="R36" s="41">
        <f t="shared" si="45"/>
        <v>1634.9827258420596</v>
      </c>
      <c r="S36" s="41">
        <f t="shared" si="45"/>
        <v>1721.2184848850939</v>
      </c>
    </row>
    <row r="37" spans="2:25" x14ac:dyDescent="0.2">
      <c r="B37" s="25" t="s">
        <v>220</v>
      </c>
      <c r="C37" s="29"/>
      <c r="D37" s="82">
        <f>D36/D19</f>
        <v>1</v>
      </c>
      <c r="E37" s="82">
        <f t="shared" ref="E37:S37" si="46">E36/E19</f>
        <v>1</v>
      </c>
      <c r="F37" s="82">
        <f t="shared" si="46"/>
        <v>1</v>
      </c>
      <c r="G37" s="82">
        <f t="shared" si="46"/>
        <v>1</v>
      </c>
      <c r="H37" s="82">
        <f t="shared" si="46"/>
        <v>1</v>
      </c>
      <c r="I37" s="82">
        <f t="shared" si="46"/>
        <v>1</v>
      </c>
      <c r="J37" s="82">
        <f t="shared" si="46"/>
        <v>1</v>
      </c>
      <c r="K37" s="82">
        <f t="shared" si="46"/>
        <v>1</v>
      </c>
      <c r="L37" s="82">
        <f t="shared" si="46"/>
        <v>0.68442080254217452</v>
      </c>
      <c r="M37" s="82">
        <f t="shared" si="46"/>
        <v>1</v>
      </c>
      <c r="N37" s="82">
        <f t="shared" si="46"/>
        <v>1</v>
      </c>
      <c r="O37" s="82">
        <f t="shared" si="46"/>
        <v>1</v>
      </c>
      <c r="P37" s="82">
        <f t="shared" si="46"/>
        <v>0.68349311070004293</v>
      </c>
      <c r="Q37" s="76">
        <f t="shared" si="46"/>
        <v>1</v>
      </c>
      <c r="R37" s="76">
        <f t="shared" si="46"/>
        <v>1</v>
      </c>
      <c r="S37" s="76">
        <f t="shared" si="46"/>
        <v>1</v>
      </c>
      <c r="V37" s="26">
        <f>V29/V19</f>
        <v>0</v>
      </c>
      <c r="W37" s="26">
        <f t="shared" ref="W37:Y37" si="47">W29/W19</f>
        <v>0</v>
      </c>
      <c r="X37" s="26">
        <f t="shared" si="47"/>
        <v>0</v>
      </c>
      <c r="Y37" s="26">
        <f t="shared" si="47"/>
        <v>0</v>
      </c>
    </row>
    <row r="38" spans="2:25" x14ac:dyDescent="0.2">
      <c r="Q38" s="53"/>
      <c r="R38" s="53"/>
      <c r="S38" s="53"/>
    </row>
    <row r="39" spans="2:25" x14ac:dyDescent="0.2">
      <c r="Q39" s="53"/>
      <c r="R39" s="53"/>
      <c r="S39" s="53"/>
    </row>
    <row r="40" spans="2:25" x14ac:dyDescent="0.2">
      <c r="Q40" s="53"/>
      <c r="R40" s="53"/>
      <c r="S40" s="53"/>
    </row>
    <row r="41" spans="2:25" x14ac:dyDescent="0.2">
      <c r="B41" s="1" t="s">
        <v>221</v>
      </c>
      <c r="L41" s="30">
        <f>+L44+L46+L48</f>
        <v>-466.40411</v>
      </c>
      <c r="P41" s="30">
        <f>+P44+P46+P48</f>
        <v>-580.78207999999995</v>
      </c>
      <c r="Q41" s="53"/>
      <c r="R41" s="53"/>
      <c r="S41" s="53"/>
    </row>
    <row r="42" spans="2:25" x14ac:dyDescent="0.2">
      <c r="B42" s="9" t="s">
        <v>25</v>
      </c>
      <c r="D42" s="7"/>
      <c r="E42" s="7"/>
      <c r="F42" s="7"/>
      <c r="G42" s="7"/>
      <c r="H42" s="7"/>
      <c r="I42" s="7"/>
      <c r="J42" s="7"/>
      <c r="K42" s="7"/>
      <c r="L42" s="7">
        <v>-497.05</v>
      </c>
      <c r="M42" s="7"/>
      <c r="N42" s="7"/>
      <c r="O42" s="7"/>
      <c r="P42" s="7">
        <v>-620.25599999999997</v>
      </c>
      <c r="Q42" s="53"/>
      <c r="R42" s="53"/>
      <c r="S42" s="53"/>
    </row>
    <row r="43" spans="2:25" x14ac:dyDescent="0.2">
      <c r="B43" s="47" t="s">
        <v>140</v>
      </c>
      <c r="P43" s="26">
        <f>P42/L42-1</f>
        <v>0.24787445930992846</v>
      </c>
      <c r="Q43" s="53"/>
      <c r="R43" s="53"/>
      <c r="S43" s="53"/>
    </row>
    <row r="44" spans="2:25" x14ac:dyDescent="0.2">
      <c r="B44" s="47" t="s">
        <v>224</v>
      </c>
      <c r="D44" s="7"/>
      <c r="E44" s="7"/>
      <c r="F44" s="7"/>
      <c r="G44" s="7"/>
      <c r="H44" s="7"/>
      <c r="I44" s="7"/>
      <c r="J44" s="7"/>
      <c r="K44" s="7"/>
      <c r="L44" s="86">
        <f>-L45*L12</f>
        <v>-182.01136</v>
      </c>
      <c r="M44" s="86">
        <f t="shared" ref="M44:P44" si="48">-M45*M12</f>
        <v>0</v>
      </c>
      <c r="N44" s="86">
        <f t="shared" si="48"/>
        <v>0</v>
      </c>
      <c r="O44" s="86">
        <f t="shared" si="48"/>
        <v>0</v>
      </c>
      <c r="P44" s="86">
        <f t="shared" si="48"/>
        <v>-243.11807999999999</v>
      </c>
      <c r="Q44" s="53"/>
      <c r="R44" s="53"/>
      <c r="S44" s="53"/>
    </row>
    <row r="45" spans="2:25" x14ac:dyDescent="0.2">
      <c r="B45" s="58" t="s">
        <v>226</v>
      </c>
      <c r="L45" s="85">
        <v>0.16</v>
      </c>
      <c r="M45" s="85"/>
      <c r="N45" s="85"/>
      <c r="O45" s="85"/>
      <c r="P45" s="85">
        <v>0.18</v>
      </c>
      <c r="Q45" s="53"/>
      <c r="R45" s="53"/>
      <c r="S45" s="53"/>
    </row>
    <row r="46" spans="2:25" x14ac:dyDescent="0.2">
      <c r="B46" s="47" t="s">
        <v>225</v>
      </c>
      <c r="D46" s="7"/>
      <c r="E46" s="7"/>
      <c r="F46" s="7"/>
      <c r="G46" s="7"/>
      <c r="H46" s="7"/>
      <c r="I46" s="7"/>
      <c r="J46" s="7"/>
      <c r="K46" s="7"/>
      <c r="L46" s="86">
        <f>-L47*L12</f>
        <v>-227.51419999999999</v>
      </c>
      <c r="M46" s="86">
        <f t="shared" ref="M46:P46" si="49">-M47*M12</f>
        <v>0</v>
      </c>
      <c r="N46" s="86">
        <f t="shared" si="49"/>
        <v>0</v>
      </c>
      <c r="O46" s="86">
        <f t="shared" si="49"/>
        <v>0</v>
      </c>
      <c r="P46" s="86">
        <f t="shared" si="49"/>
        <v>-270.13119999999998</v>
      </c>
      <c r="Q46" s="53"/>
      <c r="R46" s="53"/>
      <c r="S46" s="53"/>
    </row>
    <row r="47" spans="2:25" x14ac:dyDescent="0.2">
      <c r="B47" s="58" t="s">
        <v>226</v>
      </c>
      <c r="L47" s="85">
        <v>0.2</v>
      </c>
      <c r="M47" s="85"/>
      <c r="N47" s="85"/>
      <c r="O47" s="85"/>
      <c r="P47" s="85">
        <v>0.2</v>
      </c>
      <c r="Q47" s="53"/>
      <c r="R47" s="53"/>
      <c r="S47" s="53"/>
    </row>
    <row r="48" spans="2:25" x14ac:dyDescent="0.2">
      <c r="B48" s="47" t="s">
        <v>227</v>
      </c>
      <c r="L48" s="86">
        <f>-L49*L12</f>
        <v>-56.878549999999997</v>
      </c>
      <c r="M48" s="86">
        <f t="shared" ref="M48:P48" si="50">-M49*M12</f>
        <v>0</v>
      </c>
      <c r="N48" s="86">
        <f t="shared" si="50"/>
        <v>0</v>
      </c>
      <c r="O48" s="86">
        <f t="shared" si="50"/>
        <v>0</v>
      </c>
      <c r="P48" s="86">
        <f t="shared" si="50"/>
        <v>-67.532799999999995</v>
      </c>
      <c r="Q48" s="53"/>
      <c r="R48" s="53"/>
      <c r="S48" s="53"/>
    </row>
    <row r="49" spans="2:25" x14ac:dyDescent="0.2">
      <c r="B49" s="58" t="s">
        <v>226</v>
      </c>
      <c r="L49" s="85">
        <v>0.05</v>
      </c>
      <c r="M49" s="85"/>
      <c r="N49" s="85"/>
      <c r="O49" s="85"/>
      <c r="P49" s="85">
        <v>0.05</v>
      </c>
      <c r="Q49" s="53"/>
      <c r="R49" s="53"/>
      <c r="S49" s="53"/>
    </row>
    <row r="50" spans="2:25" x14ac:dyDescent="0.2">
      <c r="B50" s="9" t="s">
        <v>26</v>
      </c>
      <c r="D50" s="7"/>
      <c r="E50" s="7"/>
      <c r="F50" s="7"/>
      <c r="G50" s="7"/>
      <c r="H50" s="7"/>
      <c r="I50" s="7"/>
      <c r="J50" s="7"/>
      <c r="K50" s="7"/>
      <c r="L50" s="7">
        <v>-25.916</v>
      </c>
      <c r="M50" s="7"/>
      <c r="N50" s="7"/>
      <c r="O50" s="7"/>
      <c r="P50" s="7">
        <v>-41.88</v>
      </c>
      <c r="Q50" s="53"/>
      <c r="R50" s="53"/>
      <c r="S50" s="53"/>
    </row>
    <row r="51" spans="2:25" x14ac:dyDescent="0.2">
      <c r="B51" s="47" t="s">
        <v>140</v>
      </c>
      <c r="P51" s="26">
        <f>P50/L50-1</f>
        <v>0.61599012193239711</v>
      </c>
      <c r="Q51" s="53"/>
      <c r="R51" s="53"/>
      <c r="S51" s="53"/>
    </row>
    <row r="52" spans="2:25" x14ac:dyDescent="0.2">
      <c r="B52" s="15" t="s">
        <v>222</v>
      </c>
      <c r="C52" s="15"/>
      <c r="D52" s="15"/>
      <c r="E52" s="15"/>
      <c r="F52" s="15"/>
      <c r="G52" s="15"/>
      <c r="H52" s="15"/>
      <c r="I52" s="15"/>
      <c r="J52" s="16"/>
      <c r="K52" s="16"/>
      <c r="L52" s="16">
        <f>+L50+L42</f>
        <v>-522.96600000000001</v>
      </c>
      <c r="M52" s="16"/>
      <c r="N52" s="16"/>
      <c r="O52" s="16"/>
      <c r="P52" s="16">
        <f>+P50+P42</f>
        <v>-662.13599999999997</v>
      </c>
      <c r="Q52" s="84"/>
      <c r="R52" s="84"/>
      <c r="S52" s="84"/>
      <c r="T52" s="15"/>
      <c r="U52" s="15"/>
      <c r="V52" s="15"/>
      <c r="W52" s="15"/>
      <c r="X52" s="15"/>
      <c r="Y52" s="15"/>
    </row>
    <row r="53" spans="2:25" x14ac:dyDescent="0.2">
      <c r="Q53" s="53"/>
      <c r="R53" s="53"/>
      <c r="S53" s="53"/>
    </row>
    <row r="54" spans="2:25" x14ac:dyDescent="0.2">
      <c r="Q54" s="53"/>
      <c r="R54" s="53"/>
      <c r="S54" s="53"/>
    </row>
    <row r="55" spans="2:25" x14ac:dyDescent="0.2">
      <c r="B55" s="1" t="s">
        <v>223</v>
      </c>
      <c r="L55" s="30"/>
      <c r="P55" s="30"/>
      <c r="Q55" s="53"/>
      <c r="R55" s="53"/>
      <c r="S55" s="53"/>
    </row>
    <row r="56" spans="2:25" x14ac:dyDescent="0.2">
      <c r="B56" s="9" t="s">
        <v>25</v>
      </c>
      <c r="L56" s="30">
        <f>+L42+L30</f>
        <v>340.85799999999989</v>
      </c>
      <c r="M56" s="30">
        <f t="shared" ref="M56:P56" si="51">+M42+M30</f>
        <v>1204.4870000000001</v>
      </c>
      <c r="N56" s="30">
        <f t="shared" si="51"/>
        <v>1274.875</v>
      </c>
      <c r="O56" s="30">
        <f t="shared" si="51"/>
        <v>1303.5719999999999</v>
      </c>
      <c r="P56" s="30">
        <f t="shared" si="51"/>
        <v>392.65299999999991</v>
      </c>
      <c r="Q56" s="53"/>
      <c r="R56" s="53"/>
      <c r="S56" s="53"/>
      <c r="V56" s="30">
        <f>SUM(D56:G56)</f>
        <v>0</v>
      </c>
      <c r="W56" s="30">
        <f>SUM(H56:K56)</f>
        <v>0</v>
      </c>
      <c r="X56" s="30">
        <f>SUM(L56:O56)</f>
        <v>4123.7920000000004</v>
      </c>
      <c r="Y56" s="30">
        <f>SUM(P56:S56)</f>
        <v>392.65299999999991</v>
      </c>
    </row>
    <row r="57" spans="2:25" outlineLevel="1" x14ac:dyDescent="0.2">
      <c r="B57" s="47" t="s">
        <v>229</v>
      </c>
      <c r="D57" s="26">
        <f>D56/D11</f>
        <v>0</v>
      </c>
      <c r="E57" s="26">
        <f t="shared" ref="E57:S57" si="52">E56/E11</f>
        <v>0</v>
      </c>
      <c r="F57" s="26">
        <f t="shared" si="52"/>
        <v>0</v>
      </c>
      <c r="G57" s="26">
        <f t="shared" si="52"/>
        <v>0</v>
      </c>
      <c r="H57" s="26">
        <f t="shared" si="52"/>
        <v>0</v>
      </c>
      <c r="I57" s="26">
        <f t="shared" si="52"/>
        <v>0</v>
      </c>
      <c r="J57" s="26">
        <f t="shared" si="52"/>
        <v>0</v>
      </c>
      <c r="K57" s="26">
        <f t="shared" si="52"/>
        <v>0</v>
      </c>
      <c r="L57" s="26">
        <f t="shared" si="52"/>
        <v>0.29488332981517551</v>
      </c>
      <c r="M57" s="26">
        <f t="shared" si="52"/>
        <v>1</v>
      </c>
      <c r="N57" s="26">
        <f t="shared" si="52"/>
        <v>1</v>
      </c>
      <c r="O57" s="26">
        <f t="shared" si="52"/>
        <v>1</v>
      </c>
      <c r="P57" s="26">
        <f t="shared" si="52"/>
        <v>0.28311374430478131</v>
      </c>
      <c r="Q57" s="42">
        <f t="shared" si="52"/>
        <v>0</v>
      </c>
      <c r="R57" s="42">
        <f t="shared" si="52"/>
        <v>0</v>
      </c>
      <c r="S57" s="42">
        <f t="shared" si="52"/>
        <v>0</v>
      </c>
      <c r="V57" s="26">
        <f>V56/V11</f>
        <v>0</v>
      </c>
      <c r="W57" s="26">
        <f t="shared" ref="W57:Y57" si="53">W56/W11</f>
        <v>0</v>
      </c>
      <c r="X57" s="26">
        <f t="shared" si="53"/>
        <v>0.8349714366242128</v>
      </c>
      <c r="Y57" s="26">
        <f t="shared" si="53"/>
        <v>6.6450057741320262E-2</v>
      </c>
    </row>
    <row r="58" spans="2:25" x14ac:dyDescent="0.2">
      <c r="B58" s="9" t="s">
        <v>26</v>
      </c>
      <c r="Q58" s="53"/>
      <c r="R58" s="53"/>
      <c r="S58" s="53"/>
      <c r="V58" s="30">
        <f>SUM(D58:G58)</f>
        <v>0</v>
      </c>
      <c r="W58" s="30">
        <f>SUM(H58:K58)</f>
        <v>0</v>
      </c>
      <c r="X58" s="30">
        <f>SUM(L58:O58)</f>
        <v>0</v>
      </c>
      <c r="Y58" s="30">
        <f>SUM(P58:S58)</f>
        <v>0</v>
      </c>
    </row>
    <row r="59" spans="2:25" outlineLevel="1" x14ac:dyDescent="0.2">
      <c r="B59" s="47" t="s">
        <v>229</v>
      </c>
      <c r="D59" s="26">
        <f>D58/D14</f>
        <v>0</v>
      </c>
      <c r="E59" s="26">
        <f t="shared" ref="E59:S59" si="54">E58/E14</f>
        <v>0</v>
      </c>
      <c r="F59" s="26">
        <f t="shared" si="54"/>
        <v>0</v>
      </c>
      <c r="G59" s="26">
        <f t="shared" si="54"/>
        <v>0</v>
      </c>
      <c r="H59" s="26">
        <f t="shared" si="54"/>
        <v>0</v>
      </c>
      <c r="I59" s="26">
        <f t="shared" si="54"/>
        <v>0</v>
      </c>
      <c r="J59" s="26">
        <f t="shared" si="54"/>
        <v>0</v>
      </c>
      <c r="K59" s="26">
        <f t="shared" si="54"/>
        <v>0</v>
      </c>
      <c r="L59" s="26">
        <f t="shared" si="54"/>
        <v>0</v>
      </c>
      <c r="M59" s="26">
        <f t="shared" si="54"/>
        <v>0</v>
      </c>
      <c r="N59" s="26">
        <f t="shared" si="54"/>
        <v>0</v>
      </c>
      <c r="O59" s="26">
        <f t="shared" si="54"/>
        <v>0</v>
      </c>
      <c r="P59" s="26">
        <f t="shared" si="54"/>
        <v>0</v>
      </c>
      <c r="Q59" s="42">
        <f t="shared" si="54"/>
        <v>0</v>
      </c>
      <c r="R59" s="42">
        <f t="shared" si="54"/>
        <v>0</v>
      </c>
      <c r="S59" s="42">
        <f t="shared" si="54"/>
        <v>0</v>
      </c>
      <c r="V59" s="26">
        <f>V58/V14</f>
        <v>0</v>
      </c>
      <c r="W59" s="26">
        <f t="shared" ref="W59:Y59" si="55">W58/W14</f>
        <v>0</v>
      </c>
      <c r="X59" s="26">
        <f t="shared" si="55"/>
        <v>0</v>
      </c>
      <c r="Y59" s="26">
        <f t="shared" si="55"/>
        <v>0</v>
      </c>
    </row>
    <row r="60" spans="2:25" x14ac:dyDescent="0.2">
      <c r="B60" s="15" t="s">
        <v>228</v>
      </c>
      <c r="C60" s="15"/>
      <c r="D60" s="15"/>
      <c r="E60" s="15"/>
      <c r="F60" s="15"/>
      <c r="G60" s="15"/>
      <c r="H60" s="15"/>
      <c r="I60" s="15"/>
      <c r="J60" s="15"/>
      <c r="K60" s="15"/>
      <c r="L60" s="33">
        <f>L52+L29</f>
        <v>-522.96600000000001</v>
      </c>
      <c r="M60" s="15"/>
      <c r="N60" s="15"/>
      <c r="O60" s="15"/>
      <c r="P60" s="33">
        <f>P52+P29</f>
        <v>-662.13599999999997</v>
      </c>
      <c r="Q60" s="84"/>
      <c r="R60" s="84"/>
      <c r="S60" s="84"/>
      <c r="T60" s="15"/>
      <c r="U60" s="15"/>
      <c r="V60" s="15"/>
      <c r="W60" s="15"/>
      <c r="X60" s="15"/>
      <c r="Y60" s="15"/>
    </row>
    <row r="61" spans="2:25" x14ac:dyDescent="0.2">
      <c r="B61" s="25" t="s">
        <v>140</v>
      </c>
      <c r="H61" s="26" t="e">
        <f>H60/D60-1</f>
        <v>#DIV/0!</v>
      </c>
      <c r="I61" s="26" t="e">
        <f t="shared" ref="I61:P61" si="56">I60/E60-1</f>
        <v>#DIV/0!</v>
      </c>
      <c r="J61" s="26" t="e">
        <f t="shared" si="56"/>
        <v>#DIV/0!</v>
      </c>
      <c r="K61" s="26" t="e">
        <f t="shared" si="56"/>
        <v>#DIV/0!</v>
      </c>
      <c r="L61" s="26" t="e">
        <f t="shared" si="56"/>
        <v>#DIV/0!</v>
      </c>
      <c r="M61" s="26" t="e">
        <f t="shared" si="56"/>
        <v>#DIV/0!</v>
      </c>
      <c r="N61" s="26" t="e">
        <f t="shared" si="56"/>
        <v>#DIV/0!</v>
      </c>
      <c r="O61" s="26" t="e">
        <f t="shared" si="56"/>
        <v>#DIV/0!</v>
      </c>
      <c r="P61" s="26">
        <f t="shared" si="56"/>
        <v>0.26611672651759388</v>
      </c>
      <c r="Q61" s="53"/>
      <c r="R61" s="53"/>
      <c r="S61" s="53"/>
    </row>
    <row r="62" spans="2:25" x14ac:dyDescent="0.2">
      <c r="Q62" s="53"/>
      <c r="R62" s="53"/>
      <c r="S62" s="53"/>
    </row>
    <row r="63" spans="2:25" x14ac:dyDescent="0.2">
      <c r="Q63" s="53"/>
      <c r="R63" s="53"/>
      <c r="S63" s="53"/>
    </row>
    <row r="64" spans="2:25" x14ac:dyDescent="0.2">
      <c r="Q64" s="53"/>
      <c r="R64" s="53"/>
      <c r="S64" s="53"/>
    </row>
    <row r="65" spans="1:25" x14ac:dyDescent="0.2">
      <c r="Q65" s="53"/>
      <c r="R65" s="53"/>
      <c r="S65" s="53"/>
    </row>
    <row r="66" spans="1:25" x14ac:dyDescent="0.2">
      <c r="Q66" s="53"/>
      <c r="R66" s="53"/>
      <c r="S66" s="53"/>
    </row>
    <row r="67" spans="1:25" x14ac:dyDescent="0.2">
      <c r="A67" s="1" t="s">
        <v>21</v>
      </c>
      <c r="B67" s="5" t="s">
        <v>16</v>
      </c>
      <c r="C67" s="5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53"/>
      <c r="R67" s="53"/>
      <c r="S67" s="53"/>
      <c r="T67" s="6"/>
      <c r="U67" s="6"/>
      <c r="V67" s="6"/>
      <c r="W67" s="6"/>
      <c r="X67" s="6"/>
      <c r="Y67" s="6"/>
    </row>
    <row r="68" spans="1:25" x14ac:dyDescent="0.2">
      <c r="Q68" s="53"/>
      <c r="R68" s="53"/>
      <c r="S68" s="53"/>
    </row>
    <row r="69" spans="1:25" x14ac:dyDescent="0.2">
      <c r="Q69" s="53"/>
      <c r="R69" s="53"/>
      <c r="S69" s="53"/>
    </row>
    <row r="70" spans="1:25" x14ac:dyDescent="0.2">
      <c r="Q70" s="53"/>
      <c r="R70" s="53"/>
      <c r="S70" s="53"/>
    </row>
    <row r="71" spans="1:25" x14ac:dyDescent="0.2">
      <c r="Q71" s="53"/>
      <c r="R71" s="53"/>
      <c r="S71" s="53"/>
    </row>
    <row r="72" spans="1:25" x14ac:dyDescent="0.2">
      <c r="Q72" s="53"/>
      <c r="R72" s="53"/>
      <c r="S72" s="53"/>
    </row>
    <row r="73" spans="1:25" x14ac:dyDescent="0.2">
      <c r="Q73" s="53"/>
      <c r="R73" s="53"/>
      <c r="S73" s="53"/>
    </row>
    <row r="74" spans="1:25" x14ac:dyDescent="0.2">
      <c r="Q74" s="53"/>
      <c r="R74" s="53"/>
      <c r="S74" s="53"/>
    </row>
    <row r="75" spans="1:25" x14ac:dyDescent="0.2">
      <c r="Q75" s="53"/>
      <c r="R75" s="53"/>
      <c r="S75" s="53"/>
    </row>
    <row r="76" spans="1:25" x14ac:dyDescent="0.2">
      <c r="A76" s="1" t="s">
        <v>21</v>
      </c>
      <c r="B76" s="5" t="s">
        <v>17</v>
      </c>
      <c r="C76" s="5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53"/>
      <c r="R76" s="53"/>
      <c r="S76" s="53"/>
      <c r="T76" s="6"/>
      <c r="U76" s="6"/>
      <c r="V76" s="6"/>
      <c r="W76" s="6"/>
      <c r="X76" s="6"/>
      <c r="Y76" s="6"/>
    </row>
    <row r="77" spans="1:25" x14ac:dyDescent="0.2">
      <c r="Q77" s="53"/>
      <c r="R77" s="53"/>
      <c r="S77" s="53"/>
    </row>
    <row r="78" spans="1:25" x14ac:dyDescent="0.2">
      <c r="Q78" s="53"/>
      <c r="R78" s="53"/>
      <c r="S78" s="53"/>
    </row>
    <row r="79" spans="1:25" x14ac:dyDescent="0.2">
      <c r="Q79" s="53"/>
      <c r="R79" s="53"/>
      <c r="S79" s="53"/>
    </row>
    <row r="80" spans="1:25" x14ac:dyDescent="0.2">
      <c r="Q80" s="53"/>
      <c r="R80" s="53"/>
      <c r="S80" s="53"/>
    </row>
    <row r="81" spans="1:25" x14ac:dyDescent="0.2">
      <c r="Q81" s="53"/>
      <c r="R81" s="53"/>
      <c r="S81" s="53"/>
    </row>
    <row r="82" spans="1:25" x14ac:dyDescent="0.2">
      <c r="Q82" s="53"/>
      <c r="R82" s="53"/>
      <c r="S82" s="53"/>
    </row>
    <row r="83" spans="1:25" x14ac:dyDescent="0.2">
      <c r="Q83" s="53"/>
      <c r="R83" s="53"/>
      <c r="S83" s="53"/>
    </row>
    <row r="84" spans="1:25" x14ac:dyDescent="0.2">
      <c r="Q84" s="53"/>
      <c r="R84" s="53"/>
      <c r="S84" s="53"/>
    </row>
    <row r="85" spans="1:25" x14ac:dyDescent="0.2">
      <c r="Q85" s="53"/>
      <c r="R85" s="53"/>
      <c r="S85" s="53"/>
    </row>
    <row r="86" spans="1:25" x14ac:dyDescent="0.2">
      <c r="A86" s="1" t="s">
        <v>21</v>
      </c>
      <c r="B86" s="5" t="s">
        <v>18</v>
      </c>
      <c r="C86" s="5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53"/>
      <c r="R86" s="53"/>
      <c r="S86" s="53"/>
      <c r="T86" s="6"/>
      <c r="U86" s="6"/>
      <c r="V86" s="6"/>
      <c r="W86" s="6"/>
      <c r="X86" s="6"/>
      <c r="Y86" s="6"/>
    </row>
    <row r="87" spans="1:25" x14ac:dyDescent="0.2">
      <c r="Q87" s="53"/>
      <c r="R87" s="53"/>
      <c r="S87" s="53"/>
    </row>
    <row r="88" spans="1:25" x14ac:dyDescent="0.2">
      <c r="B88" s="10" t="s">
        <v>25</v>
      </c>
      <c r="C88" s="10"/>
      <c r="Q88" s="53"/>
      <c r="R88" s="53"/>
      <c r="S88" s="53"/>
    </row>
    <row r="89" spans="1:25" x14ac:dyDescent="0.2">
      <c r="B89" s="9" t="s">
        <v>144</v>
      </c>
      <c r="C89" s="9"/>
      <c r="D89" s="7">
        <v>834.23199999999997</v>
      </c>
      <c r="E89" s="7">
        <v>857.65499999999997</v>
      </c>
      <c r="F89" s="7">
        <v>900.48400000000004</v>
      </c>
      <c r="G89" s="7">
        <v>930.44500000000005</v>
      </c>
      <c r="H89" s="7">
        <v>959.60299999999995</v>
      </c>
      <c r="I89" s="7">
        <v>983.45299999999997</v>
      </c>
      <c r="J89" s="7">
        <v>1028.7339999999999</v>
      </c>
      <c r="K89" s="7">
        <v>1083.604</v>
      </c>
      <c r="L89" s="7">
        <v>1137.5709999999999</v>
      </c>
      <c r="M89" s="7">
        <v>1179.6220000000001</v>
      </c>
      <c r="N89" s="7">
        <v>1235.761</v>
      </c>
      <c r="O89" s="7">
        <v>1277.7149999999999</v>
      </c>
      <c r="P89" s="7">
        <v>1350.6559999999999</v>
      </c>
      <c r="Q89" s="51">
        <f>+Q102+Q118+Q134</f>
        <v>1414.5236522431762</v>
      </c>
      <c r="R89" s="51">
        <f>+R102+R118+R134</f>
        <v>1466.6411633420596</v>
      </c>
      <c r="S89" s="51">
        <f>+S102+S118+S134</f>
        <v>1544.5067817600939</v>
      </c>
      <c r="V89" s="30">
        <f>SUM(D89:G89)</f>
        <v>3522.8160000000003</v>
      </c>
      <c r="W89" s="30">
        <f>SUM(H89:K89)</f>
        <v>4055.3940000000002</v>
      </c>
      <c r="X89" s="30">
        <f>SUM(L89:O89)</f>
        <v>4830.6689999999999</v>
      </c>
      <c r="Y89" s="30">
        <f>SUM(P89:S89)</f>
        <v>5776.3275973453292</v>
      </c>
    </row>
    <row r="90" spans="1:25" x14ac:dyDescent="0.2">
      <c r="B90" s="25" t="s">
        <v>140</v>
      </c>
      <c r="C90" s="9"/>
      <c r="G90" s="24"/>
      <c r="H90" s="26">
        <f t="shared" ref="H90:J90" si="57">H89/D89-1</f>
        <v>0.15028313466757437</v>
      </c>
      <c r="I90" s="26">
        <f t="shared" si="57"/>
        <v>0.14667669400866323</v>
      </c>
      <c r="J90" s="26">
        <f t="shared" si="57"/>
        <v>0.14242340785621943</v>
      </c>
      <c r="K90" s="26">
        <f t="shared" ref="K90:P90" si="58">K89/G89-1</f>
        <v>0.16460833257204888</v>
      </c>
      <c r="L90" s="26">
        <f t="shared" si="58"/>
        <v>0.18546002878273615</v>
      </c>
      <c r="M90" s="26">
        <f t="shared" si="58"/>
        <v>0.19946962386611267</v>
      </c>
      <c r="N90" s="26">
        <f t="shared" si="58"/>
        <v>0.20124444219788606</v>
      </c>
      <c r="O90" s="26">
        <f t="shared" si="58"/>
        <v>0.17913462851742867</v>
      </c>
      <c r="P90" s="26">
        <f t="shared" si="58"/>
        <v>0.18731578072929089</v>
      </c>
      <c r="Q90" s="42">
        <f t="shared" ref="Q90" si="59">Q89/M89-1</f>
        <v>0.19913298687475822</v>
      </c>
      <c r="R90" s="42">
        <f t="shared" ref="R90" si="60">R89/N89-1</f>
        <v>0.18683237563093491</v>
      </c>
      <c r="S90" s="42">
        <f t="shared" ref="S90" si="61">S89/O89-1</f>
        <v>0.20880382695678934</v>
      </c>
      <c r="W90" s="24">
        <f>W89/V89-1</f>
        <v>0.15117962448223232</v>
      </c>
      <c r="X90" s="24">
        <f t="shared" ref="X90:Y90" si="62">X89/W89-1</f>
        <v>0.19117131405727772</v>
      </c>
      <c r="Y90" s="24">
        <f t="shared" si="62"/>
        <v>0.19576141469128383</v>
      </c>
    </row>
    <row r="91" spans="1:25" x14ac:dyDescent="0.2">
      <c r="B91" s="25"/>
      <c r="C91" s="9"/>
      <c r="G91" s="24"/>
      <c r="H91" s="26"/>
      <c r="I91" s="26"/>
      <c r="J91" s="26"/>
      <c r="K91" s="26"/>
      <c r="L91" s="26"/>
      <c r="M91" s="26"/>
      <c r="N91" s="26"/>
      <c r="O91" s="26"/>
      <c r="P91" s="26"/>
      <c r="Q91" s="53"/>
      <c r="R91" s="53"/>
      <c r="S91" s="53"/>
    </row>
    <row r="92" spans="1:25" x14ac:dyDescent="0.2">
      <c r="B92" s="12" t="s">
        <v>39</v>
      </c>
      <c r="C92" s="12"/>
      <c r="D92" s="7">
        <v>1717.077</v>
      </c>
      <c r="E92" s="7">
        <v>1757.452</v>
      </c>
      <c r="F92" s="7">
        <v>1832.7080000000001</v>
      </c>
      <c r="G92" s="7">
        <v>1908.192</v>
      </c>
      <c r="H92" s="7">
        <v>1971.5319999999999</v>
      </c>
      <c r="I92" s="7">
        <v>2047.442</v>
      </c>
      <c r="J92" s="7">
        <v>2136.61</v>
      </c>
      <c r="K92" s="7">
        <v>2223.2269999999999</v>
      </c>
      <c r="L92" s="7">
        <v>2302.2359999999999</v>
      </c>
      <c r="M92" s="7">
        <v>2386.2489999999998</v>
      </c>
      <c r="N92" s="7">
        <v>2456.4670000000001</v>
      </c>
      <c r="O92" s="7">
        <v>2568.4670000000001</v>
      </c>
      <c r="P92" s="7">
        <v>2662.2220000000002</v>
      </c>
      <c r="Q92" s="55">
        <f>Q105+Q121+Q137</f>
        <v>2771.7192170984963</v>
      </c>
      <c r="R92" s="55">
        <f>R105+R121+R137</f>
        <v>2857.0471010165797</v>
      </c>
      <c r="S92" s="55">
        <f>S105+S121+S137</f>
        <v>2991.2498759896735</v>
      </c>
      <c r="V92" s="30">
        <f>SUM(D92:G92)</f>
        <v>7215.4290000000001</v>
      </c>
      <c r="W92" s="30">
        <f>SUM(H92:K92)</f>
        <v>8378.8110000000015</v>
      </c>
      <c r="X92" s="30">
        <f>SUM(L92:O92)</f>
        <v>9713.4189999999999</v>
      </c>
      <c r="Y92" s="30">
        <f>SUM(P92:S92)</f>
        <v>11282.23819410475</v>
      </c>
    </row>
    <row r="93" spans="1:25" x14ac:dyDescent="0.2">
      <c r="B93" s="12"/>
      <c r="C93" s="12"/>
      <c r="H93" s="26">
        <f t="shared" ref="H93" si="63">H92/D92-1</f>
        <v>0.1481907916767855</v>
      </c>
      <c r="I93" s="26">
        <f t="shared" ref="I93" si="64">I92/E92-1</f>
        <v>0.16500592903817579</v>
      </c>
      <c r="J93" s="26">
        <f t="shared" ref="J93" si="65">J92/F92-1</f>
        <v>0.16582128740639535</v>
      </c>
      <c r="K93" s="26">
        <f t="shared" ref="K93" si="66">K92/G92-1</f>
        <v>0.1650960699971491</v>
      </c>
      <c r="L93" s="26">
        <f t="shared" ref="L93" si="67">L92/H92-1</f>
        <v>0.16773960554533218</v>
      </c>
      <c r="M93" s="26">
        <f t="shared" ref="M93" si="68">M92/I92-1</f>
        <v>0.16547819181202672</v>
      </c>
      <c r="N93" s="26">
        <f t="shared" ref="N93" si="69">N92/J92-1</f>
        <v>0.14970303424583808</v>
      </c>
      <c r="O93" s="26">
        <f t="shared" ref="O93" si="70">O92/K92-1</f>
        <v>0.1552877866272766</v>
      </c>
      <c r="P93" s="26">
        <f t="shared" ref="P93" si="71">P92/L92-1</f>
        <v>0.15636363952262067</v>
      </c>
      <c r="Q93" s="42">
        <f t="shared" ref="Q93" si="72">Q92/M92-1</f>
        <v>0.16153813667328798</v>
      </c>
      <c r="R93" s="42">
        <f t="shared" ref="R93" si="73">R92/N92-1</f>
        <v>0.16307163947921133</v>
      </c>
      <c r="S93" s="42">
        <f t="shared" ref="S93" si="74">S92/O92-1</f>
        <v>0.1646051422851349</v>
      </c>
      <c r="W93" s="24">
        <f>W92/V92-1</f>
        <v>0.1612353194799645</v>
      </c>
      <c r="X93" s="24">
        <f t="shared" ref="X93" si="75">X92/W92-1</f>
        <v>0.15928369788983154</v>
      </c>
      <c r="Y93" s="24">
        <f t="shared" ref="Y93" si="76">Y92/X92-1</f>
        <v>0.16151050357291807</v>
      </c>
    </row>
    <row r="94" spans="1:25" x14ac:dyDescent="0.2">
      <c r="B94" s="12"/>
      <c r="C94" s="12"/>
      <c r="H94" s="26"/>
      <c r="I94" s="26"/>
      <c r="J94" s="26"/>
      <c r="K94" s="26"/>
      <c r="L94" s="26"/>
      <c r="M94" s="26"/>
      <c r="N94" s="26"/>
      <c r="O94" s="26"/>
      <c r="P94" s="26"/>
      <c r="Q94" s="53"/>
      <c r="R94" s="53"/>
      <c r="S94" s="53"/>
    </row>
    <row r="95" spans="1:25" x14ac:dyDescent="0.2">
      <c r="B95" s="12" t="s">
        <v>143</v>
      </c>
      <c r="C95" s="12"/>
      <c r="D95" s="28">
        <f>(D89/D92*1000)/3</f>
        <v>161.94808580706243</v>
      </c>
      <c r="E95" s="28">
        <f t="shared" ref="E95:P95" si="77">(E89/E92*1000)/3</f>
        <v>162.6701611196209</v>
      </c>
      <c r="F95" s="28">
        <f t="shared" si="77"/>
        <v>163.78022758308106</v>
      </c>
      <c r="G95" s="28">
        <f t="shared" si="77"/>
        <v>162.5351816448939</v>
      </c>
      <c r="H95" s="28">
        <f t="shared" si="77"/>
        <v>162.2432030860603</v>
      </c>
      <c r="I95" s="28">
        <f t="shared" si="77"/>
        <v>160.11084400274422</v>
      </c>
      <c r="J95" s="28">
        <f t="shared" si="77"/>
        <v>160.493180006334</v>
      </c>
      <c r="K95" s="28">
        <f t="shared" si="77"/>
        <v>162.46714048243089</v>
      </c>
      <c r="L95" s="28">
        <f t="shared" si="77"/>
        <v>164.70524018099505</v>
      </c>
      <c r="M95" s="28">
        <f t="shared" si="77"/>
        <v>164.78051256735296</v>
      </c>
      <c r="N95" s="28">
        <f t="shared" si="77"/>
        <v>167.68812010636955</v>
      </c>
      <c r="O95" s="28">
        <f t="shared" si="77"/>
        <v>165.82070160916996</v>
      </c>
      <c r="P95" s="28">
        <f t="shared" si="77"/>
        <v>169.11387054372872</v>
      </c>
      <c r="Q95" s="54">
        <f>CHOOSE($B$5,Q97,Q98,Q99)+P95</f>
        <v>170.11387054372872</v>
      </c>
      <c r="R95" s="54">
        <f t="shared" ref="R95:S95" si="78">CHOOSE($B$5,R97,R98,R99)+Q95</f>
        <v>171.11387054372872</v>
      </c>
      <c r="S95" s="54">
        <f t="shared" si="78"/>
        <v>172.11387054372872</v>
      </c>
    </row>
    <row r="96" spans="1:25" x14ac:dyDescent="0.2">
      <c r="B96" s="47" t="s">
        <v>140</v>
      </c>
      <c r="C96" s="12"/>
      <c r="D96" s="28"/>
      <c r="E96" s="28"/>
      <c r="F96" s="28"/>
      <c r="G96" s="28"/>
      <c r="H96" s="26">
        <f t="shared" ref="H96" si="79">H95/D95-1</f>
        <v>1.8222955679110253E-3</v>
      </c>
      <c r="I96" s="26">
        <f t="shared" ref="I96" si="80">I95/E95-1</f>
        <v>-1.5733168881505333E-2</v>
      </c>
      <c r="J96" s="26">
        <f t="shared" ref="J96" si="81">J95/F95-1</f>
        <v>-2.0069868171844085E-2</v>
      </c>
      <c r="K96" s="26">
        <f t="shared" ref="K96" si="82">K95/G95-1</f>
        <v>-4.1862421276683826E-4</v>
      </c>
      <c r="L96" s="26">
        <f t="shared" ref="L96" si="83">L95/H95-1</f>
        <v>1.517497835412418E-2</v>
      </c>
      <c r="M96" s="26">
        <f t="shared" ref="M96" si="84">M95/I95-1</f>
        <v>2.916522359053153E-2</v>
      </c>
      <c r="N96" s="26">
        <f t="shared" ref="N96" si="85">N95/J95-1</f>
        <v>4.4830192159888593E-2</v>
      </c>
      <c r="O96" s="26">
        <f t="shared" ref="O96" si="86">O95/K95-1</f>
        <v>2.064147320363352E-2</v>
      </c>
      <c r="P96" s="26">
        <f t="shared" ref="P96" si="87">P95/L95-1</f>
        <v>2.6766788706230615E-2</v>
      </c>
      <c r="Q96" s="42">
        <f t="shared" ref="Q96" si="88">Q95/M95-1</f>
        <v>3.2366436378183927E-2</v>
      </c>
      <c r="R96" s="42">
        <f t="shared" ref="R96" si="89">R95/N95-1</f>
        <v>2.0429297168971239E-2</v>
      </c>
      <c r="S96" s="42">
        <f t="shared" ref="S96" si="90">S95/O95-1</f>
        <v>3.7951648216948186E-2</v>
      </c>
    </row>
    <row r="97" spans="2:25" x14ac:dyDescent="0.2">
      <c r="B97" s="13" t="s">
        <v>31</v>
      </c>
      <c r="C97" s="12"/>
      <c r="D97" s="28"/>
      <c r="E97" s="28"/>
      <c r="F97" s="28"/>
      <c r="G97" s="28"/>
      <c r="H97" s="26"/>
      <c r="I97" s="26"/>
      <c r="J97" s="26"/>
      <c r="K97" s="26"/>
      <c r="L97" s="26"/>
      <c r="M97" s="26"/>
      <c r="N97" s="26"/>
      <c r="O97" s="26"/>
      <c r="P97" s="26"/>
      <c r="Q97" s="43">
        <v>0</v>
      </c>
      <c r="R97" s="43">
        <f>Q97</f>
        <v>0</v>
      </c>
      <c r="S97" s="43">
        <f>R97</f>
        <v>0</v>
      </c>
    </row>
    <row r="98" spans="2:25" x14ac:dyDescent="0.2">
      <c r="B98" s="13" t="s">
        <v>30</v>
      </c>
      <c r="C98" s="12"/>
      <c r="D98" s="28"/>
      <c r="E98" s="28"/>
      <c r="F98" s="28"/>
      <c r="G98" s="28"/>
      <c r="H98" s="26"/>
      <c r="I98" s="26"/>
      <c r="J98" s="26"/>
      <c r="K98" s="26"/>
      <c r="L98" s="26"/>
      <c r="M98" s="26"/>
      <c r="N98" s="26"/>
      <c r="O98" s="26"/>
      <c r="P98" s="26"/>
      <c r="Q98" s="43">
        <v>1</v>
      </c>
      <c r="R98" s="43">
        <f t="shared" ref="R98:S98" si="91">Q98</f>
        <v>1</v>
      </c>
      <c r="S98" s="43">
        <f t="shared" si="91"/>
        <v>1</v>
      </c>
    </row>
    <row r="99" spans="2:25" x14ac:dyDescent="0.2">
      <c r="B99" s="13" t="s">
        <v>32</v>
      </c>
      <c r="C99" s="12"/>
      <c r="D99" s="28"/>
      <c r="E99" s="28"/>
      <c r="F99" s="28"/>
      <c r="G99" s="28"/>
      <c r="H99" s="26"/>
      <c r="I99" s="26"/>
      <c r="J99" s="26"/>
      <c r="K99" s="26"/>
      <c r="L99" s="26"/>
      <c r="M99" s="26"/>
      <c r="N99" s="26"/>
      <c r="O99" s="26"/>
      <c r="P99" s="26"/>
      <c r="Q99" s="43">
        <v>2</v>
      </c>
      <c r="R99" s="43">
        <f t="shared" ref="R99:S99" si="92">Q99</f>
        <v>2</v>
      </c>
      <c r="S99" s="43">
        <f t="shared" si="92"/>
        <v>2</v>
      </c>
    </row>
    <row r="100" spans="2:25" x14ac:dyDescent="0.2">
      <c r="B100" s="12"/>
      <c r="C100" s="12"/>
      <c r="H100" s="26"/>
      <c r="I100" s="26"/>
      <c r="J100" s="26"/>
      <c r="K100" s="26"/>
      <c r="L100" s="26"/>
      <c r="M100" s="26"/>
      <c r="N100" s="26"/>
      <c r="O100" s="26"/>
      <c r="P100" s="26"/>
      <c r="Q100" s="53"/>
      <c r="R100" s="53"/>
      <c r="S100" s="53"/>
    </row>
    <row r="101" spans="2:25" x14ac:dyDescent="0.2">
      <c r="B101" s="9" t="s">
        <v>36</v>
      </c>
      <c r="C101" s="9"/>
      <c r="L101" s="26"/>
      <c r="P101" s="26"/>
      <c r="Q101" s="53"/>
      <c r="R101" s="53"/>
      <c r="S101" s="53"/>
      <c r="V101" s="56">
        <f>V102/V89</f>
        <v>0.75521684924787436</v>
      </c>
      <c r="W101" s="56">
        <f t="shared" ref="W101:Y101" si="93">W102/W89</f>
        <v>0.74718338094892878</v>
      </c>
      <c r="X101" s="56">
        <f t="shared" si="93"/>
        <v>0.74845285404568196</v>
      </c>
      <c r="Y101" s="56">
        <f t="shared" si="93"/>
        <v>0</v>
      </c>
    </row>
    <row r="102" spans="2:25" x14ac:dyDescent="0.2">
      <c r="B102" s="12" t="s">
        <v>144</v>
      </c>
      <c r="C102" s="12"/>
      <c r="D102" s="7">
        <f>AVERAGE($V$101:$X$101)*D89</f>
        <v>625.911223391259</v>
      </c>
      <c r="E102" s="7">
        <f t="shared" ref="E102:P102" si="94">AVERAGE($V$101:$X$101)*E89</f>
        <v>643.48513398866294</v>
      </c>
      <c r="F102" s="7">
        <f t="shared" si="94"/>
        <v>675.61906290367006</v>
      </c>
      <c r="G102" s="7">
        <f t="shared" si="94"/>
        <v>698.0983326559998</v>
      </c>
      <c r="H102" s="7">
        <f t="shared" si="94"/>
        <v>719.97512406611384</v>
      </c>
      <c r="I102" s="7">
        <f t="shared" si="94"/>
        <v>737.86940608584166</v>
      </c>
      <c r="J102" s="7">
        <f t="shared" si="94"/>
        <v>771.84303225503629</v>
      </c>
      <c r="K102" s="7">
        <f t="shared" si="94"/>
        <v>813.01113516583143</v>
      </c>
      <c r="L102" s="7">
        <f t="shared" si="94"/>
        <v>853.50173129826931</v>
      </c>
      <c r="M102" s="7">
        <f t="shared" si="94"/>
        <v>885.05193898009634</v>
      </c>
      <c r="N102" s="7">
        <f t="shared" si="94"/>
        <v>927.17215274552598</v>
      </c>
      <c r="O102" s="7">
        <f t="shared" si="94"/>
        <v>958.64958284429565</v>
      </c>
      <c r="P102" s="7">
        <f t="shared" si="94"/>
        <v>1013.376074450206</v>
      </c>
      <c r="Q102" s="44">
        <f>(Q105*Q111*3)/1000</f>
        <v>1059.8895828552015</v>
      </c>
      <c r="R102" s="44">
        <f>(R105*R111*3)/1000</f>
        <v>1097.4918086896805</v>
      </c>
      <c r="S102" s="44">
        <f>(S105*S111*3)/1000</f>
        <v>1154.2370209078429</v>
      </c>
      <c r="V102" s="1">
        <f>2532.308+128.182</f>
        <v>2660.49</v>
      </c>
      <c r="W102" s="1">
        <f>2900.018+130.105</f>
        <v>3030.123</v>
      </c>
      <c r="X102" s="1">
        <f>3467.675+147.853</f>
        <v>3615.5280000000002</v>
      </c>
    </row>
    <row r="103" spans="2:25" x14ac:dyDescent="0.2">
      <c r="B103" s="12"/>
      <c r="C103" s="12"/>
      <c r="D103" s="7"/>
      <c r="E103" s="7"/>
      <c r="F103" s="7"/>
      <c r="G103" s="7"/>
      <c r="H103" s="34">
        <f>H102/D102-1</f>
        <v>0.15028313466757437</v>
      </c>
      <c r="I103" s="34">
        <f t="shared" ref="I103:S103" si="95">I102/E102-1</f>
        <v>0.14667669400866323</v>
      </c>
      <c r="J103" s="34">
        <f t="shared" si="95"/>
        <v>0.14242340785621943</v>
      </c>
      <c r="K103" s="34">
        <f t="shared" si="95"/>
        <v>0.16460833257204888</v>
      </c>
      <c r="L103" s="34">
        <f t="shared" si="95"/>
        <v>0.18546002878273615</v>
      </c>
      <c r="M103" s="34">
        <f t="shared" si="95"/>
        <v>0.19946962386611244</v>
      </c>
      <c r="N103" s="34">
        <f t="shared" si="95"/>
        <v>0.20124444219788606</v>
      </c>
      <c r="O103" s="34">
        <f t="shared" si="95"/>
        <v>0.17913462851742867</v>
      </c>
      <c r="P103" s="34">
        <f t="shared" si="95"/>
        <v>0.18731578072929089</v>
      </c>
      <c r="Q103" s="46">
        <f t="shared" si="95"/>
        <v>0.1975450661986935</v>
      </c>
      <c r="R103" s="46">
        <f t="shared" si="95"/>
        <v>0.18369798471600651</v>
      </c>
      <c r="S103" s="46">
        <f t="shared" si="95"/>
        <v>0.20402391193166003</v>
      </c>
    </row>
    <row r="104" spans="2:25" x14ac:dyDescent="0.2">
      <c r="B104" s="12"/>
      <c r="C104" s="12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R104" s="53"/>
      <c r="S104" s="53"/>
    </row>
    <row r="105" spans="2:25" x14ac:dyDescent="0.2">
      <c r="B105" s="12" t="s">
        <v>39</v>
      </c>
      <c r="C105" s="12"/>
      <c r="D105" s="57">
        <f>AVERAGE($V$101:$X$101)*D92</f>
        <v>1288.2960204439446</v>
      </c>
      <c r="E105" s="57">
        <f t="shared" ref="E105:P105" si="96">AVERAGE($V$101:$X$101)*E92</f>
        <v>1318.5887515360414</v>
      </c>
      <c r="F105" s="57">
        <f t="shared" si="96"/>
        <v>1375.0521514386257</v>
      </c>
      <c r="G105" s="57">
        <f t="shared" si="96"/>
        <v>1431.6866161756122</v>
      </c>
      <c r="H105" s="57">
        <f t="shared" si="96"/>
        <v>1479.2096276275852</v>
      </c>
      <c r="I105" s="57">
        <f t="shared" si="96"/>
        <v>1536.1637135025342</v>
      </c>
      <c r="J105" s="57">
        <f t="shared" si="96"/>
        <v>1603.0650694411122</v>
      </c>
      <c r="K105" s="57">
        <f t="shared" si="96"/>
        <v>1668.0524499737226</v>
      </c>
      <c r="L105" s="57">
        <f t="shared" si="96"/>
        <v>1727.3316670846941</v>
      </c>
      <c r="M105" s="57">
        <f t="shared" si="96"/>
        <v>1790.365307140182</v>
      </c>
      <c r="N105" s="57">
        <f t="shared" si="96"/>
        <v>1843.0487744299619</v>
      </c>
      <c r="O105" s="57">
        <f t="shared" si="96"/>
        <v>1927.080622908348</v>
      </c>
      <c r="P105" s="57">
        <f t="shared" si="96"/>
        <v>1997.4235332127328</v>
      </c>
      <c r="Q105" s="55">
        <f>(1+Q106)*M105</f>
        <v>2076.8237562826112</v>
      </c>
      <c r="R105" s="55">
        <f t="shared" ref="R105:S105" si="97">(1+R106)*N105</f>
        <v>2137.9365783387557</v>
      </c>
      <c r="S105" s="55">
        <f t="shared" si="97"/>
        <v>2235.4135225736836</v>
      </c>
    </row>
    <row r="106" spans="2:25" x14ac:dyDescent="0.2">
      <c r="B106" s="47" t="s">
        <v>140</v>
      </c>
      <c r="C106" s="12"/>
      <c r="D106" s="57"/>
      <c r="E106" s="57"/>
      <c r="F106" s="57"/>
      <c r="G106" s="57"/>
      <c r="H106" s="24">
        <f>H105/D105-1</f>
        <v>0.14819079167678573</v>
      </c>
      <c r="I106" s="24">
        <f t="shared" ref="I106:P106" si="98">I105/E105-1</f>
        <v>0.16500592903817579</v>
      </c>
      <c r="J106" s="24">
        <f t="shared" si="98"/>
        <v>0.16582128740639512</v>
      </c>
      <c r="K106" s="24">
        <f t="shared" si="98"/>
        <v>0.1650960699971491</v>
      </c>
      <c r="L106" s="24">
        <f t="shared" si="98"/>
        <v>0.16773960554533218</v>
      </c>
      <c r="M106" s="24">
        <f t="shared" si="98"/>
        <v>0.16547819181202694</v>
      </c>
      <c r="N106" s="24">
        <f t="shared" si="98"/>
        <v>0.14970303424583808</v>
      </c>
      <c r="O106" s="24">
        <f t="shared" si="98"/>
        <v>0.1552877866272766</v>
      </c>
      <c r="P106" s="24">
        <f t="shared" si="98"/>
        <v>0.15636363952262067</v>
      </c>
      <c r="Q106" s="45">
        <f>CHOOSE($B$5,Q107,Q108,Q109)</f>
        <v>0.16</v>
      </c>
      <c r="R106" s="45">
        <f t="shared" ref="R106:S106" si="99">CHOOSE($B$5,R107,R108,R109)</f>
        <v>0.16</v>
      </c>
      <c r="S106" s="45">
        <f t="shared" si="99"/>
        <v>0.16</v>
      </c>
    </row>
    <row r="107" spans="2:25" x14ac:dyDescent="0.2">
      <c r="B107" s="13" t="s">
        <v>31</v>
      </c>
      <c r="C107" s="12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48">
        <v>0.15</v>
      </c>
      <c r="R107" s="48">
        <f>Q107-0.01</f>
        <v>0.13999999999999999</v>
      </c>
      <c r="S107" s="48">
        <f>R107-0.01</f>
        <v>0.12999999999999998</v>
      </c>
    </row>
    <row r="108" spans="2:25" x14ac:dyDescent="0.2">
      <c r="B108" s="13" t="s">
        <v>30</v>
      </c>
      <c r="C108" s="12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49">
        <v>0.16</v>
      </c>
      <c r="R108" s="49">
        <f>Q108</f>
        <v>0.16</v>
      </c>
      <c r="S108" s="49">
        <f>R108</f>
        <v>0.16</v>
      </c>
    </row>
    <row r="109" spans="2:25" x14ac:dyDescent="0.2">
      <c r="B109" s="13" t="s">
        <v>32</v>
      </c>
      <c r="C109" s="12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49">
        <v>0.16500000000000001</v>
      </c>
      <c r="R109" s="49">
        <f>Q109+0.01</f>
        <v>0.17500000000000002</v>
      </c>
      <c r="S109" s="49">
        <f>R109+0.01</f>
        <v>0.18500000000000003</v>
      </c>
    </row>
    <row r="110" spans="2:25" x14ac:dyDescent="0.2">
      <c r="B110" s="13"/>
      <c r="C110" s="12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49"/>
      <c r="R110" s="49"/>
      <c r="S110" s="49"/>
    </row>
    <row r="111" spans="2:25" x14ac:dyDescent="0.2">
      <c r="B111" s="11" t="s">
        <v>28</v>
      </c>
      <c r="C111" s="11"/>
      <c r="D111" s="28">
        <f>(D102/D105*1000)/3</f>
        <v>161.94808580706243</v>
      </c>
      <c r="E111" s="28">
        <f>(E102/E105*1000)/3</f>
        <v>162.67016111962093</v>
      </c>
      <c r="F111" s="28">
        <f>(F102/F105*1000)/3</f>
        <v>163.78022758308103</v>
      </c>
      <c r="G111" s="28">
        <f>(G102/G105*1000)/3</f>
        <v>162.53518164489387</v>
      </c>
      <c r="H111" s="28">
        <f>(H102/H105*1000)/3</f>
        <v>162.2432030860603</v>
      </c>
      <c r="I111" s="28">
        <f>(I102/I105*1000)/3</f>
        <v>160.11084400274424</v>
      </c>
      <c r="J111" s="28">
        <f>(J102/J105*1000)/3</f>
        <v>160.49318000633403</v>
      </c>
      <c r="K111" s="28">
        <f>(K102/K105*1000)/3</f>
        <v>162.46714048243089</v>
      </c>
      <c r="L111" s="28">
        <f>(L102/L105*1000)/3</f>
        <v>164.70524018099502</v>
      </c>
      <c r="M111" s="28">
        <f>(M102/M105*1000)/3</f>
        <v>164.78051256735293</v>
      </c>
      <c r="N111" s="28">
        <f>(N102/N105*1000)/3</f>
        <v>167.68812010636955</v>
      </c>
      <c r="O111" s="28">
        <f>(O102/O105*1000)/3</f>
        <v>165.82070160916996</v>
      </c>
      <c r="P111" s="28">
        <f>(P102/P105*1000)/3</f>
        <v>169.11387054372872</v>
      </c>
      <c r="Q111" s="54">
        <f>CHOOSE($B$5,Q113,Q114,Q115)+P111</f>
        <v>170.11387054372872</v>
      </c>
      <c r="R111" s="54">
        <f t="shared" ref="R111:S111" si="100">CHOOSE($B$5,R113,R114,R115)+Q111</f>
        <v>171.11387054372872</v>
      </c>
      <c r="S111" s="54">
        <f t="shared" si="100"/>
        <v>172.11387054372872</v>
      </c>
    </row>
    <row r="112" spans="2:25" x14ac:dyDescent="0.2">
      <c r="B112" s="58" t="s">
        <v>140</v>
      </c>
      <c r="C112" s="11"/>
      <c r="D112" s="28"/>
      <c r="E112" s="28"/>
      <c r="F112" s="28"/>
      <c r="G112" s="28"/>
      <c r="H112" s="24">
        <f>H111/D111-1</f>
        <v>1.8222955679110253E-3</v>
      </c>
      <c r="I112" s="24">
        <f t="shared" ref="I112:P112" si="101">I111/E111-1</f>
        <v>-1.5733168881505333E-2</v>
      </c>
      <c r="J112" s="24">
        <f t="shared" si="101"/>
        <v>-2.0069868171843752E-2</v>
      </c>
      <c r="K112" s="24">
        <f t="shared" si="101"/>
        <v>-4.1862421276661621E-4</v>
      </c>
      <c r="L112" s="24">
        <f t="shared" si="101"/>
        <v>1.5174978354123958E-2</v>
      </c>
      <c r="M112" s="24">
        <f t="shared" si="101"/>
        <v>2.9165223590531086E-2</v>
      </c>
      <c r="N112" s="24">
        <f t="shared" si="101"/>
        <v>4.4830192159888371E-2</v>
      </c>
      <c r="O112" s="24">
        <f t="shared" si="101"/>
        <v>2.064147320363352E-2</v>
      </c>
      <c r="P112" s="24">
        <f t="shared" si="101"/>
        <v>2.6766788706230837E-2</v>
      </c>
      <c r="Q112" s="45">
        <f t="shared" ref="Q112:S112" si="102">Q111/M111-1</f>
        <v>3.2366436378184149E-2</v>
      </c>
      <c r="R112" s="45">
        <f t="shared" si="102"/>
        <v>2.0429297168971239E-2</v>
      </c>
      <c r="S112" s="45">
        <f t="shared" si="102"/>
        <v>3.7951648216948186E-2</v>
      </c>
    </row>
    <row r="113" spans="2:24" x14ac:dyDescent="0.2">
      <c r="B113" s="13" t="s">
        <v>31</v>
      </c>
      <c r="C113" s="13"/>
      <c r="Q113" s="43">
        <v>0</v>
      </c>
      <c r="R113" s="43">
        <f>Q113</f>
        <v>0</v>
      </c>
      <c r="S113" s="43">
        <f>R113</f>
        <v>0</v>
      </c>
    </row>
    <row r="114" spans="2:24" x14ac:dyDescent="0.2">
      <c r="B114" s="13" t="s">
        <v>30</v>
      </c>
      <c r="C114" s="13"/>
      <c r="Q114" s="43">
        <v>1</v>
      </c>
      <c r="R114" s="43">
        <f t="shared" ref="R114:S114" si="103">Q114</f>
        <v>1</v>
      </c>
      <c r="S114" s="43">
        <f t="shared" si="103"/>
        <v>1</v>
      </c>
    </row>
    <row r="115" spans="2:24" x14ac:dyDescent="0.2">
      <c r="B115" s="13" t="s">
        <v>32</v>
      </c>
      <c r="C115" s="13"/>
      <c r="Q115" s="43">
        <v>2</v>
      </c>
      <c r="R115" s="43">
        <f t="shared" ref="R115:S115" si="104">Q115</f>
        <v>2</v>
      </c>
      <c r="S115" s="43">
        <f t="shared" si="104"/>
        <v>2</v>
      </c>
    </row>
    <row r="116" spans="2:24" x14ac:dyDescent="0.2">
      <c r="B116" s="12"/>
      <c r="C116" s="12"/>
      <c r="Q116" s="53"/>
      <c r="R116" s="53"/>
      <c r="S116" s="53"/>
    </row>
    <row r="117" spans="2:24" x14ac:dyDescent="0.2">
      <c r="B117" s="9" t="s">
        <v>37</v>
      </c>
      <c r="C117" s="9"/>
      <c r="Q117" s="53"/>
      <c r="R117" s="53"/>
      <c r="S117" s="53"/>
      <c r="V117" s="34">
        <f>V118/V89</f>
        <v>0.14908527723275924</v>
      </c>
      <c r="W117" s="34">
        <f>W118/W89</f>
        <v>0.15719804290285974</v>
      </c>
      <c r="X117" s="34">
        <f>X118/X89</f>
        <v>0.15376752164141239</v>
      </c>
    </row>
    <row r="118" spans="2:24" x14ac:dyDescent="0.2">
      <c r="B118" s="12" t="s">
        <v>27</v>
      </c>
      <c r="C118" s="12"/>
      <c r="D118" s="30">
        <f>AVERAGE($V$117:$X$117)*D89</f>
        <v>127.92971127911214</v>
      </c>
      <c r="E118" s="30">
        <f>AVERAGE($V$117:$X$117)*E89</f>
        <v>131.52163490142661</v>
      </c>
      <c r="F118" s="30">
        <f>AVERAGE($V$117:$X$117)*F89</f>
        <v>138.0894740689161</v>
      </c>
      <c r="G118" s="30">
        <f>AVERAGE($V$117:$X$117)*G89</f>
        <v>142.68400182574334</v>
      </c>
      <c r="H118" s="30">
        <f>AVERAGE($V$117:$X$117)*H89</f>
        <v>147.15538930725486</v>
      </c>
      <c r="I118" s="30">
        <f>AVERAGE($V$117:$X$117)*I89</f>
        <v>150.81279349938228</v>
      </c>
      <c r="J118" s="30">
        <f>AVERAGE($V$117:$X$117)*J89</f>
        <v>157.75664755488418</v>
      </c>
      <c r="K118" s="30">
        <f>AVERAGE($V$117:$X$117)*K89</f>
        <v>166.1709774509861</v>
      </c>
      <c r="L118" s="30">
        <f>AVERAGE($V$117:$X$117)*L89</f>
        <v>174.4468320437131</v>
      </c>
      <c r="M118" s="30">
        <f>AVERAGE($V$117:$X$117)*M89</f>
        <v>180.89536469290178</v>
      </c>
      <c r="N118" s="30">
        <f>AVERAGE($V$117:$X$117)*N89</f>
        <v>189.50429609507535</v>
      </c>
      <c r="O118" s="30">
        <f>AVERAGE($V$117:$X$117)*O89</f>
        <v>195.93795376704654</v>
      </c>
      <c r="P118" s="30">
        <f>AVERAGE($V$117:$X$117)*P89</f>
        <v>207.1234765837327</v>
      </c>
      <c r="Q118" s="55">
        <f>(Q121*Q127*3)/1000</f>
        <v>218.49785451625132</v>
      </c>
      <c r="R118" s="55">
        <f>(R121*R127*3)/1000</f>
        <v>228.18336809626214</v>
      </c>
      <c r="S118" s="55">
        <f>(S121*S127*3)/1000</f>
        <v>242.01520525230703</v>
      </c>
      <c r="V118" s="1">
        <v>525.20000000000005</v>
      </c>
      <c r="W118" s="1">
        <v>637.5</v>
      </c>
      <c r="X118" s="1">
        <v>742.8</v>
      </c>
    </row>
    <row r="119" spans="2:24" x14ac:dyDescent="0.2">
      <c r="B119" s="47" t="s">
        <v>140</v>
      </c>
      <c r="C119" s="12"/>
      <c r="D119" s="30"/>
      <c r="E119" s="30"/>
      <c r="F119" s="30"/>
      <c r="G119" s="30"/>
      <c r="H119" s="24">
        <f>H118/D118-1</f>
        <v>0.15028313466757437</v>
      </c>
      <c r="I119" s="24">
        <f t="shared" ref="I119:P119" si="105">I118/E118-1</f>
        <v>0.14667669400866323</v>
      </c>
      <c r="J119" s="24">
        <f t="shared" si="105"/>
        <v>0.14242340785621943</v>
      </c>
      <c r="K119" s="24">
        <f t="shared" si="105"/>
        <v>0.16460833257204865</v>
      </c>
      <c r="L119" s="24">
        <f t="shared" si="105"/>
        <v>0.18546002878273615</v>
      </c>
      <c r="M119" s="24">
        <f t="shared" si="105"/>
        <v>0.19946962386611267</v>
      </c>
      <c r="N119" s="24">
        <f t="shared" si="105"/>
        <v>0.20124444219788606</v>
      </c>
      <c r="O119" s="24">
        <f t="shared" si="105"/>
        <v>0.1791346285174289</v>
      </c>
      <c r="P119" s="24">
        <f t="shared" si="105"/>
        <v>0.18731578072929089</v>
      </c>
      <c r="Q119" s="45">
        <f t="shared" ref="Q119" si="106">Q118/M118-1</f>
        <v>0.20786873056247557</v>
      </c>
      <c r="R119" s="45">
        <f t="shared" ref="R119" si="107">R118/N118-1</f>
        <v>0.20410657065938653</v>
      </c>
      <c r="S119" s="45">
        <f t="shared" ref="S119" si="108">S118/O118-1</f>
        <v>0.23516246137816865</v>
      </c>
    </row>
    <row r="120" spans="2:24" x14ac:dyDescent="0.2">
      <c r="B120" s="12"/>
      <c r="C120" s="12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53"/>
      <c r="R120" s="53"/>
      <c r="S120" s="53"/>
    </row>
    <row r="121" spans="2:24" x14ac:dyDescent="0.2">
      <c r="B121" s="12" t="s">
        <v>39</v>
      </c>
      <c r="C121" s="12"/>
      <c r="D121" s="30">
        <f>AVERAGE($V$117:$X$117)*D92</f>
        <v>263.31423974865987</v>
      </c>
      <c r="E121" s="30">
        <f>AVERAGE($V$117:$X$117)*E92</f>
        <v>269.50575732757579</v>
      </c>
      <c r="F121" s="30">
        <f>AVERAGE($V$117:$X$117)*F92</f>
        <v>281.04628604383322</v>
      </c>
      <c r="G121" s="30">
        <f>AVERAGE($V$117:$X$117)*G92</f>
        <v>292.62177862406571</v>
      </c>
      <c r="H121" s="30">
        <f>AVERAGE($V$117:$X$117)*H92</f>
        <v>302.3349853967847</v>
      </c>
      <c r="I121" s="30">
        <f>AVERAGE($V$117:$X$117)*I92</f>
        <v>313.97580519654957</v>
      </c>
      <c r="J121" s="30">
        <f>AVERAGE($V$117:$X$117)*J92</f>
        <v>327.64974301640768</v>
      </c>
      <c r="K121" s="30">
        <f>AVERAGE($V$117:$X$117)*K92</f>
        <v>340.93248427047467</v>
      </c>
      <c r="L121" s="30">
        <f>AVERAGE($V$117:$X$117)*L92</f>
        <v>353.04853658979516</v>
      </c>
      <c r="M121" s="30">
        <f>AVERAGE($V$117:$X$117)*M92</f>
        <v>365.93195371319973</v>
      </c>
      <c r="N121" s="30">
        <f>AVERAGE($V$117:$X$117)*N92</f>
        <v>376.69990371583299</v>
      </c>
      <c r="O121" s="30">
        <f>AVERAGE($V$117:$X$117)*O92</f>
        <v>393.87513514217551</v>
      </c>
      <c r="P121" s="30">
        <f>AVERAGE($V$117:$X$117)*P92</f>
        <v>408.25249069911069</v>
      </c>
      <c r="Q121" s="55">
        <f>(1+Q122)*M121</f>
        <v>428.14038584444364</v>
      </c>
      <c r="R121" s="55">
        <f t="shared" ref="R121:S121" si="109">(1+R122)*N121</f>
        <v>444.50588638468292</v>
      </c>
      <c r="S121" s="55">
        <f t="shared" si="109"/>
        <v>468.71141081918881</v>
      </c>
    </row>
    <row r="122" spans="2:24" x14ac:dyDescent="0.2">
      <c r="B122" s="47" t="s">
        <v>140</v>
      </c>
      <c r="C122" s="12"/>
      <c r="H122" s="24">
        <f>H121/D121-1</f>
        <v>0.1481907916767855</v>
      </c>
      <c r="I122" s="24">
        <f t="shared" ref="I122:P122" si="110">I121/E121-1</f>
        <v>0.16500592903817579</v>
      </c>
      <c r="J122" s="24">
        <f t="shared" si="110"/>
        <v>0.16582128740639535</v>
      </c>
      <c r="K122" s="24">
        <f t="shared" si="110"/>
        <v>0.16509606999714888</v>
      </c>
      <c r="L122" s="24">
        <f t="shared" si="110"/>
        <v>0.16773960554533218</v>
      </c>
      <c r="M122" s="24">
        <f t="shared" si="110"/>
        <v>0.16547819181202672</v>
      </c>
      <c r="N122" s="24">
        <f t="shared" si="110"/>
        <v>0.14970303424583808</v>
      </c>
      <c r="O122" s="24">
        <f t="shared" si="110"/>
        <v>0.1552877866272766</v>
      </c>
      <c r="P122" s="24">
        <f t="shared" si="110"/>
        <v>0.15636363952262089</v>
      </c>
      <c r="Q122" s="42">
        <f>CHOOSE($B$5,Q123,Q124,Q125)</f>
        <v>0.17</v>
      </c>
      <c r="R122" s="42">
        <f t="shared" ref="R122:S122" si="111">CHOOSE($B$5,R123,R124,R125)</f>
        <v>0.18000000000000002</v>
      </c>
      <c r="S122" s="42">
        <f t="shared" si="111"/>
        <v>0.19000000000000003</v>
      </c>
    </row>
    <row r="123" spans="2:24" x14ac:dyDescent="0.2">
      <c r="B123" s="13" t="s">
        <v>31</v>
      </c>
      <c r="C123" s="12"/>
      <c r="Q123" s="48">
        <v>0.16</v>
      </c>
      <c r="R123" s="48">
        <f>Q123-0.01</f>
        <v>0.15</v>
      </c>
      <c r="S123" s="48">
        <f>R123-0.01</f>
        <v>0.13999999999999999</v>
      </c>
    </row>
    <row r="124" spans="2:24" x14ac:dyDescent="0.2">
      <c r="B124" s="13" t="s">
        <v>30</v>
      </c>
      <c r="C124" s="12"/>
      <c r="Q124" s="49">
        <v>0.17</v>
      </c>
      <c r="R124" s="49">
        <f>Q124+0.01</f>
        <v>0.18000000000000002</v>
      </c>
      <c r="S124" s="49">
        <f>R124+0.01</f>
        <v>0.19000000000000003</v>
      </c>
    </row>
    <row r="125" spans="2:24" x14ac:dyDescent="0.2">
      <c r="B125" s="13" t="s">
        <v>32</v>
      </c>
      <c r="C125" s="12"/>
      <c r="P125" s="24"/>
      <c r="Q125" s="49">
        <v>0.18</v>
      </c>
      <c r="R125" s="49">
        <f>Q125+0.015</f>
        <v>0.19500000000000001</v>
      </c>
      <c r="S125" s="49">
        <f>R125+0.015</f>
        <v>0.21000000000000002</v>
      </c>
    </row>
    <row r="126" spans="2:24" x14ac:dyDescent="0.2">
      <c r="B126" s="13"/>
      <c r="C126" s="12"/>
      <c r="P126" s="24"/>
      <c r="Q126" s="49"/>
      <c r="R126" s="48"/>
      <c r="S126" s="48"/>
    </row>
    <row r="127" spans="2:24" x14ac:dyDescent="0.2">
      <c r="B127" s="11" t="s">
        <v>28</v>
      </c>
      <c r="C127" s="11"/>
      <c r="D127" s="28">
        <f>(D118/D121*1000)/3</f>
        <v>161.94808580706243</v>
      </c>
      <c r="E127" s="28">
        <f>(E118/E121*1000)/3</f>
        <v>162.67016111962087</v>
      </c>
      <c r="F127" s="28">
        <f>(F118/F121*1000)/3</f>
        <v>163.78022758308103</v>
      </c>
      <c r="G127" s="28">
        <f>(G118/G121*1000)/3</f>
        <v>162.5351816448939</v>
      </c>
      <c r="H127" s="28">
        <f>(H118/H121*1000)/3</f>
        <v>162.24320308606033</v>
      </c>
      <c r="I127" s="28">
        <f>(I118/I121*1000)/3</f>
        <v>160.11084400274422</v>
      </c>
      <c r="J127" s="28">
        <f>(J118/J121*1000)/3</f>
        <v>160.493180006334</v>
      </c>
      <c r="K127" s="28">
        <f>(K118/K121*1000)/3</f>
        <v>162.46714048243089</v>
      </c>
      <c r="L127" s="28">
        <f>(L118/L121*1000)/3</f>
        <v>164.70524018099505</v>
      </c>
      <c r="M127" s="28">
        <f>(M118/M121*1000)/3</f>
        <v>164.78051256735296</v>
      </c>
      <c r="N127" s="28">
        <f>(N118/N121*1000)/3</f>
        <v>167.68812010636955</v>
      </c>
      <c r="O127" s="28">
        <f>(O118/O121*1000)/3</f>
        <v>165.82070160916996</v>
      </c>
      <c r="P127" s="28">
        <f>(P118/P121*1000)/3</f>
        <v>169.11387054372878</v>
      </c>
      <c r="Q127" s="54">
        <f>CHOOSE($B$5,Q129,Q130,Q131)+P127</f>
        <v>170.11387054372878</v>
      </c>
      <c r="R127" s="54">
        <f t="shared" ref="R127:S127" si="112">CHOOSE($B$5,R129,R130,R131)+Q127</f>
        <v>171.11387054372878</v>
      </c>
      <c r="S127" s="54">
        <f t="shared" si="112"/>
        <v>172.11387054372878</v>
      </c>
    </row>
    <row r="128" spans="2:24" x14ac:dyDescent="0.2">
      <c r="B128" s="47" t="s">
        <v>140</v>
      </c>
      <c r="C128" s="11"/>
      <c r="D128" s="28"/>
      <c r="E128" s="28"/>
      <c r="F128" s="28"/>
      <c r="G128" s="28"/>
      <c r="H128" s="34">
        <f>H127/D127-1</f>
        <v>1.8222955679112474E-3</v>
      </c>
      <c r="I128" s="34">
        <f t="shared" ref="I128:P128" si="113">I127/E127-1</f>
        <v>-1.5733168881505222E-2</v>
      </c>
      <c r="J128" s="34">
        <f t="shared" si="113"/>
        <v>-2.0069868171843863E-2</v>
      </c>
      <c r="K128" s="34">
        <f t="shared" si="113"/>
        <v>-4.1862421276683826E-4</v>
      </c>
      <c r="L128" s="34">
        <f t="shared" si="113"/>
        <v>1.5174978354123958E-2</v>
      </c>
      <c r="M128" s="34">
        <f t="shared" si="113"/>
        <v>2.916522359053153E-2</v>
      </c>
      <c r="N128" s="34">
        <f t="shared" si="113"/>
        <v>4.4830192159888593E-2</v>
      </c>
      <c r="O128" s="34">
        <f t="shared" si="113"/>
        <v>2.064147320363352E-2</v>
      </c>
      <c r="P128" s="34">
        <f t="shared" si="113"/>
        <v>2.6766788706231059E-2</v>
      </c>
      <c r="Q128" s="42">
        <f t="shared" ref="Q128" si="114">Q127/M127-1</f>
        <v>3.2366436378184371E-2</v>
      </c>
      <c r="R128" s="42">
        <f t="shared" ref="R128" si="115">R127/N127-1</f>
        <v>2.0429297168971683E-2</v>
      </c>
      <c r="S128" s="42">
        <f t="shared" ref="S128" si="116">S127/O127-1</f>
        <v>3.795164821694863E-2</v>
      </c>
    </row>
    <row r="129" spans="2:25" x14ac:dyDescent="0.2">
      <c r="B129" s="13" t="s">
        <v>31</v>
      </c>
      <c r="C129" s="13"/>
      <c r="H129" s="32"/>
      <c r="I129" s="32"/>
      <c r="J129" s="32"/>
      <c r="K129" s="32"/>
      <c r="L129" s="32"/>
      <c r="M129" s="32"/>
      <c r="N129" s="32"/>
      <c r="O129" s="32"/>
      <c r="P129" s="32"/>
      <c r="Q129" s="43">
        <v>0</v>
      </c>
      <c r="R129" s="43">
        <f>Q129</f>
        <v>0</v>
      </c>
      <c r="S129" s="43">
        <f>R129</f>
        <v>0</v>
      </c>
    </row>
    <row r="130" spans="2:25" x14ac:dyDescent="0.2">
      <c r="B130" s="13" t="s">
        <v>30</v>
      </c>
      <c r="C130" s="13"/>
      <c r="Q130" s="43">
        <v>1</v>
      </c>
      <c r="R130" s="43">
        <f t="shared" ref="R130:S130" si="117">Q130</f>
        <v>1</v>
      </c>
      <c r="S130" s="43">
        <f t="shared" si="117"/>
        <v>1</v>
      </c>
    </row>
    <row r="131" spans="2:25" x14ac:dyDescent="0.2">
      <c r="B131" s="13" t="s">
        <v>32</v>
      </c>
      <c r="C131" s="13"/>
      <c r="Q131" s="43">
        <v>2</v>
      </c>
      <c r="R131" s="43">
        <f t="shared" ref="R131:S131" si="118">Q131</f>
        <v>2</v>
      </c>
      <c r="S131" s="43">
        <f t="shared" si="118"/>
        <v>2</v>
      </c>
    </row>
    <row r="132" spans="2:25" x14ac:dyDescent="0.2">
      <c r="B132" s="12"/>
      <c r="C132" s="12"/>
      <c r="Q132" s="53"/>
      <c r="R132" s="53"/>
      <c r="S132" s="53"/>
    </row>
    <row r="133" spans="2:25" x14ac:dyDescent="0.2">
      <c r="B133" s="9" t="s">
        <v>38</v>
      </c>
      <c r="C133" s="9"/>
      <c r="Q133" s="53"/>
      <c r="R133" s="53"/>
      <c r="S133" s="53"/>
      <c r="V133" s="24">
        <f>V134/V89</f>
        <v>9.5690493060097373E-2</v>
      </c>
      <c r="W133" s="24">
        <f>W134/W89</f>
        <v>9.5625727118006293E-2</v>
      </c>
      <c r="X133" s="24">
        <f>X134/X89</f>
        <v>9.7791837942115267E-2</v>
      </c>
      <c r="Y133" s="24"/>
    </row>
    <row r="134" spans="2:25" x14ac:dyDescent="0.2">
      <c r="B134" s="12" t="s">
        <v>27</v>
      </c>
      <c r="C134" s="12"/>
      <c r="D134" s="30">
        <f>AVERAGE($V$133:$X$133)*D89</f>
        <v>80.394397847248825</v>
      </c>
      <c r="E134" s="30">
        <f>AVERAGE($V$133:$X$133)*E89</f>
        <v>82.651657195698789</v>
      </c>
      <c r="F134" s="30">
        <f>AVERAGE($V$133:$X$133)*F89</f>
        <v>86.779060202775739</v>
      </c>
      <c r="G134" s="30">
        <f>AVERAGE($V$133:$X$133)*G89</f>
        <v>89.66638237922237</v>
      </c>
      <c r="H134" s="30">
        <f>AVERAGE($V$133:$X$133)*H89</f>
        <v>92.476319965445484</v>
      </c>
      <c r="I134" s="30">
        <f>AVERAGE($V$133:$X$133)*I89</f>
        <v>94.774729027501223</v>
      </c>
      <c r="J134" s="30">
        <f>AVERAGE($V$133:$X$133)*J89</f>
        <v>99.138429687415098</v>
      </c>
      <c r="K134" s="30">
        <f>AVERAGE($V$133:$X$133)*K89</f>
        <v>104.42621607043391</v>
      </c>
      <c r="L134" s="30">
        <f>AVERAGE($V$133:$X$133)*L89</f>
        <v>109.62698092795851</v>
      </c>
      <c r="M134" s="30">
        <f>AVERAGE($V$133:$X$133)*M89</f>
        <v>113.67940857862963</v>
      </c>
      <c r="N134" s="30">
        <f>AVERAGE($V$133:$X$133)*N89</f>
        <v>119.08948767023328</v>
      </c>
      <c r="O134" s="30">
        <f>AVERAGE($V$133:$X$133)*O89</f>
        <v>123.13256749369184</v>
      </c>
      <c r="P134" s="30">
        <f>AVERAGE($V$133:$X$133)*P89</f>
        <v>130.16184444947413</v>
      </c>
      <c r="Q134" s="55">
        <f>(Q137*Q143*3)/1000</f>
        <v>136.13621487172335</v>
      </c>
      <c r="R134" s="55">
        <f>(R137*R143*3)/1000</f>
        <v>140.96598655611683</v>
      </c>
      <c r="S134" s="55">
        <f>(S137*S143*3)/1000</f>
        <v>148.25455559994396</v>
      </c>
      <c r="V134" s="1">
        <v>337.1</v>
      </c>
      <c r="W134" s="1">
        <v>387.8</v>
      </c>
      <c r="X134" s="1">
        <v>472.4</v>
      </c>
    </row>
    <row r="135" spans="2:25" x14ac:dyDescent="0.2">
      <c r="B135" s="47" t="s">
        <v>140</v>
      </c>
      <c r="C135" s="12"/>
      <c r="D135" s="30"/>
      <c r="E135" s="30"/>
      <c r="F135" s="30"/>
      <c r="G135" s="30"/>
      <c r="H135" s="24">
        <f>H134/D134-1</f>
        <v>0.15028313466757459</v>
      </c>
      <c r="I135" s="24">
        <f t="shared" ref="I135:P135" si="119">I134/E134-1</f>
        <v>0.14667669400866323</v>
      </c>
      <c r="J135" s="24">
        <f t="shared" si="119"/>
        <v>0.14242340785621965</v>
      </c>
      <c r="K135" s="24">
        <f t="shared" si="119"/>
        <v>0.16460833257204888</v>
      </c>
      <c r="L135" s="24">
        <f t="shared" si="119"/>
        <v>0.18546002878273615</v>
      </c>
      <c r="M135" s="24">
        <f t="shared" si="119"/>
        <v>0.19946962386611267</v>
      </c>
      <c r="N135" s="24">
        <f t="shared" si="119"/>
        <v>0.20124444219788584</v>
      </c>
      <c r="O135" s="24">
        <f t="shared" si="119"/>
        <v>0.17913462851742867</v>
      </c>
      <c r="P135" s="24">
        <f t="shared" si="119"/>
        <v>0.18731578072929067</v>
      </c>
      <c r="Q135" s="45">
        <f t="shared" ref="Q135" si="120">Q134/M134-1</f>
        <v>0.1975450661986935</v>
      </c>
      <c r="R135" s="45">
        <f t="shared" ref="R135" si="121">R134/N134-1</f>
        <v>0.18369798471600651</v>
      </c>
      <c r="S135" s="45">
        <f t="shared" ref="S135" si="122">S134/O134-1</f>
        <v>0.20402391193165959</v>
      </c>
    </row>
    <row r="136" spans="2:25" x14ac:dyDescent="0.2">
      <c r="B136" s="12"/>
      <c r="C136" s="12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53"/>
      <c r="R136" s="53"/>
      <c r="S136" s="53"/>
    </row>
    <row r="137" spans="2:25" x14ac:dyDescent="0.2">
      <c r="B137" s="12" t="s">
        <v>39</v>
      </c>
      <c r="C137" s="12"/>
      <c r="D137" s="30">
        <f>AVERAGE($V$133:$X$133)*D92</f>
        <v>165.47359903763038</v>
      </c>
      <c r="E137" s="30">
        <f>AVERAGE($V$133:$X$133)*E92</f>
        <v>169.36451165316501</v>
      </c>
      <c r="F137" s="30">
        <f>AVERAGE($V$133:$X$133)*F92</f>
        <v>176.6168836604634</v>
      </c>
      <c r="G137" s="30">
        <f>AVERAGE($V$133:$X$133)*G92</f>
        <v>183.89122788017895</v>
      </c>
      <c r="H137" s="30">
        <f>AVERAGE($V$133:$X$133)*H92</f>
        <v>189.99526268062382</v>
      </c>
      <c r="I137" s="30">
        <f>AVERAGE($V$133:$X$133)*I92</f>
        <v>197.31066024459244</v>
      </c>
      <c r="J137" s="30">
        <f>AVERAGE($V$133:$X$133)*J92</f>
        <v>205.90372268674702</v>
      </c>
      <c r="K137" s="30">
        <f>AVERAGE($V$133:$X$133)*K92</f>
        <v>214.25094691014664</v>
      </c>
      <c r="L137" s="30">
        <f>AVERAGE($V$133:$X$133)*L92</f>
        <v>221.86499309815343</v>
      </c>
      <c r="M137" s="30">
        <f>AVERAGE($V$133:$X$133)*M92</f>
        <v>229.96127152710474</v>
      </c>
      <c r="N137" s="30">
        <f>AVERAGE($V$133:$X$133)*N92</f>
        <v>236.72813473546663</v>
      </c>
      <c r="O137" s="30">
        <f>AVERAGE($V$133:$X$133)*O92</f>
        <v>247.52150223862145</v>
      </c>
      <c r="P137" s="30">
        <f>AVERAGE($V$133:$X$133)*P92</f>
        <v>256.55661090164187</v>
      </c>
      <c r="Q137" s="55">
        <f>(1+Q138)*M137</f>
        <v>266.7550749714415</v>
      </c>
      <c r="R137" s="55">
        <f t="shared" ref="R137:S137" si="123">(1+R138)*N137</f>
        <v>274.60463629314125</v>
      </c>
      <c r="S137" s="55">
        <f t="shared" si="123"/>
        <v>287.12494259680085</v>
      </c>
    </row>
    <row r="138" spans="2:25" x14ac:dyDescent="0.2">
      <c r="B138" s="58" t="s">
        <v>140</v>
      </c>
      <c r="C138" s="58"/>
      <c r="D138" s="29"/>
      <c r="E138" s="29"/>
      <c r="F138" s="29"/>
      <c r="G138" s="29"/>
      <c r="H138" s="26">
        <f>H137/D137-1</f>
        <v>0.14819079167678573</v>
      </c>
      <c r="I138" s="26">
        <f t="shared" ref="I138:P138" si="124">I137/E137-1</f>
        <v>0.16500592903817579</v>
      </c>
      <c r="J138" s="26">
        <f t="shared" si="124"/>
        <v>0.16582128740639557</v>
      </c>
      <c r="K138" s="26">
        <f t="shared" si="124"/>
        <v>0.16509606999714888</v>
      </c>
      <c r="L138" s="26">
        <f t="shared" si="124"/>
        <v>0.16773960554533218</v>
      </c>
      <c r="M138" s="26">
        <f t="shared" si="124"/>
        <v>0.16547819181202672</v>
      </c>
      <c r="N138" s="26">
        <f t="shared" si="124"/>
        <v>0.14970303424583786</v>
      </c>
      <c r="O138" s="26">
        <f t="shared" si="124"/>
        <v>0.1552877866272766</v>
      </c>
      <c r="P138" s="26">
        <f t="shared" si="124"/>
        <v>0.15636363952262089</v>
      </c>
      <c r="Q138" s="42">
        <f>CHOOSE($B$5,Q139,Q140,Q141)</f>
        <v>0.16</v>
      </c>
      <c r="R138" s="42">
        <f t="shared" ref="R138:S138" si="125">CHOOSE($B$5,R139,R140,R141)</f>
        <v>0.16</v>
      </c>
      <c r="S138" s="42">
        <f t="shared" si="125"/>
        <v>0.16</v>
      </c>
    </row>
    <row r="139" spans="2:25" x14ac:dyDescent="0.2">
      <c r="B139" s="13" t="s">
        <v>31</v>
      </c>
      <c r="C139" s="13"/>
      <c r="Q139" s="48">
        <v>0.16</v>
      </c>
      <c r="R139" s="48">
        <f>Q139-0.015</f>
        <v>0.14500000000000002</v>
      </c>
      <c r="S139" s="48">
        <f>R139-0.015</f>
        <v>0.13</v>
      </c>
    </row>
    <row r="140" spans="2:25" x14ac:dyDescent="0.2">
      <c r="B140" s="13" t="s">
        <v>30</v>
      </c>
      <c r="C140" s="13"/>
      <c r="Q140" s="49">
        <v>0.16</v>
      </c>
      <c r="R140" s="49">
        <f>Q140</f>
        <v>0.16</v>
      </c>
      <c r="S140" s="49">
        <f>R140</f>
        <v>0.16</v>
      </c>
    </row>
    <row r="141" spans="2:25" x14ac:dyDescent="0.2">
      <c r="B141" s="13" t="s">
        <v>32</v>
      </c>
      <c r="C141" s="13"/>
      <c r="Q141" s="49">
        <v>0.16</v>
      </c>
      <c r="R141" s="49">
        <f>Q141+0.005</f>
        <v>0.16500000000000001</v>
      </c>
      <c r="S141" s="49">
        <f>R141+0.005</f>
        <v>0.17</v>
      </c>
    </row>
    <row r="142" spans="2:25" x14ac:dyDescent="0.2">
      <c r="B142" s="13"/>
      <c r="C142" s="13"/>
      <c r="Q142" s="49"/>
      <c r="R142" s="49"/>
      <c r="S142" s="49"/>
    </row>
    <row r="143" spans="2:25" s="11" customFormat="1" x14ac:dyDescent="0.2">
      <c r="B143" s="11" t="s">
        <v>28</v>
      </c>
      <c r="D143" s="59">
        <f>(D134/D137*1000)/3</f>
        <v>161.94808580706243</v>
      </c>
      <c r="E143" s="59">
        <f>(E134/E137*1000)/3</f>
        <v>162.6701611196209</v>
      </c>
      <c r="F143" s="59">
        <f>(F134/F137*1000)/3</f>
        <v>163.78022758308106</v>
      </c>
      <c r="G143" s="59">
        <f>(G134/G137*1000)/3</f>
        <v>162.53518164489387</v>
      </c>
      <c r="H143" s="59">
        <f>(H134/H137*1000)/3</f>
        <v>162.2432030860603</v>
      </c>
      <c r="I143" s="59">
        <f>(I134/I137*1000)/3</f>
        <v>160.11084400274422</v>
      </c>
      <c r="J143" s="59">
        <f>(J134/J137*1000)/3</f>
        <v>160.493180006334</v>
      </c>
      <c r="K143" s="59">
        <f>(K134/K137*1000)/3</f>
        <v>162.46714048243089</v>
      </c>
      <c r="L143" s="59">
        <f>(L134/L137*1000)/3</f>
        <v>164.70524018099505</v>
      </c>
      <c r="M143" s="59">
        <f>(M134/M137*1000)/3</f>
        <v>164.78051256735293</v>
      </c>
      <c r="N143" s="59">
        <f>(N134/N137*1000)/3</f>
        <v>167.68812010636955</v>
      </c>
      <c r="O143" s="59">
        <f>(O134/O137*1000)/3</f>
        <v>165.82070160916996</v>
      </c>
      <c r="P143" s="59">
        <f>(P134/P137*1000)/3</f>
        <v>169.11387054372872</v>
      </c>
      <c r="Q143" s="54">
        <f>CHOOSE($B$5,Q145,Q146,Q147)+P143</f>
        <v>170.11387054372872</v>
      </c>
      <c r="R143" s="54">
        <f t="shared" ref="R143:S143" si="126">CHOOSE($B$5,R145,R146,R147)+Q143</f>
        <v>171.11387054372872</v>
      </c>
      <c r="S143" s="54">
        <f t="shared" si="126"/>
        <v>172.11387054372872</v>
      </c>
    </row>
    <row r="144" spans="2:25" s="11" customFormat="1" x14ac:dyDescent="0.2">
      <c r="B144" s="58" t="s">
        <v>140</v>
      </c>
      <c r="D144" s="59"/>
      <c r="E144" s="59"/>
      <c r="F144" s="59"/>
      <c r="G144" s="59"/>
      <c r="H144" s="59"/>
      <c r="I144" s="63">
        <f>I143/D143-1</f>
        <v>-1.134463427068233E-2</v>
      </c>
      <c r="J144" s="63">
        <f>J143/E143-1</f>
        <v>-1.3382793121389014E-2</v>
      </c>
      <c r="K144" s="63">
        <f>K143/F143-1</f>
        <v>-8.0173725487350245E-3</v>
      </c>
      <c r="L144" s="63">
        <f>L143/G143-1</f>
        <v>1.3351315783694861E-2</v>
      </c>
      <c r="M144" s="63">
        <f>M143/H143-1</f>
        <v>1.5638926210959525E-2</v>
      </c>
      <c r="N144" s="63">
        <f>N143/I143-1</f>
        <v>4.732518993838708E-2</v>
      </c>
      <c r="O144" s="63">
        <f>O143/J143-1</f>
        <v>3.3194691529108589E-2</v>
      </c>
      <c r="P144" s="63">
        <f>P143/K143-1</f>
        <v>4.0911226981412918E-2</v>
      </c>
      <c r="Q144" s="64">
        <f>Q143/L143-1</f>
        <v>3.2838240949651043E-2</v>
      </c>
      <c r="R144" s="64">
        <f>R143/M143-1</f>
        <v>3.8435115158335753E-2</v>
      </c>
      <c r="S144" s="64">
        <f>S143/N143-1</f>
        <v>2.6392748839642266E-2</v>
      </c>
    </row>
    <row r="145" spans="2:25" s="11" customFormat="1" x14ac:dyDescent="0.2">
      <c r="B145" s="13" t="s">
        <v>31</v>
      </c>
      <c r="C145" s="13"/>
      <c r="Q145" s="43">
        <v>0</v>
      </c>
      <c r="R145" s="43">
        <f>Q145</f>
        <v>0</v>
      </c>
      <c r="S145" s="43">
        <f>R145</f>
        <v>0</v>
      </c>
    </row>
    <row r="146" spans="2:25" s="11" customFormat="1" x14ac:dyDescent="0.2">
      <c r="B146" s="13" t="s">
        <v>30</v>
      </c>
      <c r="C146" s="13"/>
      <c r="Q146" s="43">
        <v>1</v>
      </c>
      <c r="R146" s="43">
        <f t="shared" ref="R146:S146" si="127">Q146</f>
        <v>1</v>
      </c>
      <c r="S146" s="43">
        <f t="shared" si="127"/>
        <v>1</v>
      </c>
    </row>
    <row r="147" spans="2:25" s="11" customFormat="1" x14ac:dyDescent="0.2">
      <c r="B147" s="13" t="s">
        <v>32</v>
      </c>
      <c r="C147" s="13"/>
      <c r="Q147" s="43">
        <v>2</v>
      </c>
      <c r="R147" s="43">
        <f t="shared" ref="R147:S147" si="128">Q147</f>
        <v>2</v>
      </c>
      <c r="S147" s="43">
        <f t="shared" si="128"/>
        <v>2</v>
      </c>
    </row>
    <row r="148" spans="2:25" x14ac:dyDescent="0.2">
      <c r="B148" s="13"/>
      <c r="C148" s="13"/>
      <c r="Q148" s="53"/>
      <c r="R148" s="53"/>
      <c r="S148" s="53"/>
    </row>
    <row r="149" spans="2:25" x14ac:dyDescent="0.2">
      <c r="B149" s="13"/>
      <c r="C149" s="13"/>
      <c r="Q149" s="43"/>
      <c r="R149" s="43"/>
      <c r="S149" s="43"/>
    </row>
    <row r="150" spans="2:25" x14ac:dyDescent="0.2">
      <c r="B150" s="9" t="s">
        <v>141</v>
      </c>
      <c r="C150" s="9"/>
      <c r="D150" s="27">
        <v>19.196999999999999</v>
      </c>
      <c r="E150" s="27">
        <v>25.943000000000001</v>
      </c>
      <c r="F150" s="27">
        <v>18.611000000000001</v>
      </c>
      <c r="G150" s="27">
        <v>27.128</v>
      </c>
      <c r="H150" s="27">
        <v>19.372</v>
      </c>
      <c r="I150" s="27">
        <v>22.356000000000002</v>
      </c>
      <c r="J150" s="27">
        <v>21.902999999999999</v>
      </c>
      <c r="K150" s="27">
        <v>25.986999999999998</v>
      </c>
      <c r="L150" s="27">
        <v>18.337</v>
      </c>
      <c r="M150" s="27">
        <v>24.864999999999998</v>
      </c>
      <c r="N150" s="27">
        <v>39.113999999999997</v>
      </c>
      <c r="O150" s="27">
        <v>25.856999999999999</v>
      </c>
      <c r="P150" s="27">
        <v>36.253</v>
      </c>
      <c r="Q150" s="50">
        <f>AVERAGE(M150:P150)</f>
        <v>31.52225</v>
      </c>
      <c r="R150" s="50">
        <f>AVERAGE(N150:Q150)</f>
        <v>33.186562500000001</v>
      </c>
      <c r="S150" s="50">
        <f>AVERAGE(O150:R150)</f>
        <v>31.704703125000002</v>
      </c>
    </row>
    <row r="151" spans="2:25" x14ac:dyDescent="0.2">
      <c r="B151" s="13"/>
      <c r="C151" s="13"/>
      <c r="H151" s="26">
        <f t="shared" ref="H151" si="129">H150/D150-1</f>
        <v>9.116007709538021E-3</v>
      </c>
      <c r="I151" s="26">
        <f t="shared" ref="I151" si="130">I150/E150-1</f>
        <v>-0.13826465713294533</v>
      </c>
      <c r="J151" s="26">
        <f t="shared" ref="J151" si="131">J150/F150-1</f>
        <v>0.17688463811724242</v>
      </c>
      <c r="K151" s="26">
        <f t="shared" ref="K151" si="132">K150/G150-1</f>
        <v>-4.2059864346800424E-2</v>
      </c>
      <c r="L151" s="26">
        <f t="shared" ref="L151" si="133">L150/H150-1</f>
        <v>-5.3427627503613517E-2</v>
      </c>
      <c r="M151" s="26">
        <f t="shared" ref="M151" si="134">M150/I150-1</f>
        <v>0.11222937913759146</v>
      </c>
      <c r="N151" s="26">
        <f t="shared" ref="N151" si="135">N150/J150-1</f>
        <v>0.78578276948363235</v>
      </c>
      <c r="O151" s="26">
        <f t="shared" ref="O151" si="136">O150/K150-1</f>
        <v>-5.0025012506252908E-3</v>
      </c>
      <c r="P151" s="26">
        <f t="shared" ref="P151" si="137">P150/L150-1</f>
        <v>0.97704095544527458</v>
      </c>
      <c r="Q151" s="42">
        <f t="shared" ref="Q151" si="138">Q150/M150-1</f>
        <v>0.26773577317514596</v>
      </c>
      <c r="R151" s="42">
        <f t="shared" ref="R151:S151" si="139">R150/N150-1</f>
        <v>-0.15154260622794902</v>
      </c>
      <c r="S151" s="42">
        <f t="shared" si="139"/>
        <v>0.2261555139807403</v>
      </c>
    </row>
    <row r="152" spans="2:25" x14ac:dyDescent="0.2">
      <c r="B152" s="10"/>
      <c r="C152" s="10"/>
      <c r="Q152" s="53"/>
      <c r="R152" s="53"/>
      <c r="S152" s="53"/>
    </row>
    <row r="153" spans="2:25" x14ac:dyDescent="0.2">
      <c r="B153" s="10" t="s">
        <v>26</v>
      </c>
      <c r="C153" s="10"/>
      <c r="D153" s="27">
        <f>+D154+D162</f>
        <v>61.795000000000002</v>
      </c>
      <c r="E153" s="27">
        <f t="shared" ref="E153:S153" si="140">+E154+E162</f>
        <v>71.942000000000007</v>
      </c>
      <c r="F153" s="27">
        <f t="shared" si="140"/>
        <v>90.584999999999994</v>
      </c>
      <c r="G153" s="27">
        <f t="shared" si="140"/>
        <v>92.706999999999994</v>
      </c>
      <c r="H153" s="27">
        <f t="shared" si="140"/>
        <v>100.751</v>
      </c>
      <c r="I153" s="27">
        <f t="shared" si="140"/>
        <v>100.91199999999999</v>
      </c>
      <c r="J153" s="27">
        <f t="shared" si="140"/>
        <v>108.753</v>
      </c>
      <c r="K153" s="27">
        <f t="shared" si="140"/>
        <v>109.932</v>
      </c>
      <c r="L153" s="27">
        <f t="shared" si="140"/>
        <v>121.10899999999999</v>
      </c>
      <c r="M153" s="27">
        <f t="shared" si="140"/>
        <v>139.40700000000001</v>
      </c>
      <c r="N153" s="27">
        <f t="shared" si="140"/>
        <v>134.95499999999998</v>
      </c>
      <c r="O153" s="27">
        <f t="shared" si="140"/>
        <v>144.80700000000002</v>
      </c>
      <c r="P153" s="27">
        <f t="shared" si="140"/>
        <v>177.03799999999998</v>
      </c>
      <c r="Q153" s="50">
        <f t="shared" si="140"/>
        <v>184.73285000000001</v>
      </c>
      <c r="R153" s="50">
        <f t="shared" si="140"/>
        <v>135.155</v>
      </c>
      <c r="S153" s="50">
        <f t="shared" si="140"/>
        <v>145.00700000000001</v>
      </c>
    </row>
    <row r="154" spans="2:25" x14ac:dyDescent="0.2">
      <c r="B154" s="9" t="s">
        <v>142</v>
      </c>
      <c r="D154" s="27">
        <v>59.63</v>
      </c>
      <c r="E154" s="27">
        <v>69.266000000000005</v>
      </c>
      <c r="F154" s="27">
        <v>87.153999999999996</v>
      </c>
      <c r="G154" s="27">
        <v>87.99</v>
      </c>
      <c r="H154" s="27">
        <v>96.585999999999999</v>
      </c>
      <c r="I154" s="27">
        <v>98.38</v>
      </c>
      <c r="J154" s="27">
        <v>105.545</v>
      </c>
      <c r="K154" s="27">
        <v>107.054</v>
      </c>
      <c r="L154" s="27">
        <v>117.621</v>
      </c>
      <c r="M154" s="27">
        <v>136.745</v>
      </c>
      <c r="N154" s="27">
        <v>131.61699999999999</v>
      </c>
      <c r="O154" s="27">
        <v>141.21600000000001</v>
      </c>
      <c r="P154" s="27">
        <v>173.96199999999999</v>
      </c>
      <c r="Q154" s="50">
        <f>(1+Q155)*M154</f>
        <v>181.87085000000002</v>
      </c>
      <c r="R154" s="50">
        <f t="shared" ref="R154:S154" si="141">(1+R155)*N154</f>
        <v>131.61699999999999</v>
      </c>
      <c r="S154" s="50">
        <f t="shared" si="141"/>
        <v>141.21600000000001</v>
      </c>
      <c r="V154" s="27">
        <f>SUM(D153:G153)</f>
        <v>317.029</v>
      </c>
      <c r="W154" s="1">
        <f>SUM(H154:K154)</f>
        <v>407.56500000000005</v>
      </c>
      <c r="X154" s="1">
        <f>SUM(L154:O154)</f>
        <v>527.19899999999996</v>
      </c>
      <c r="Y154" s="1">
        <f>SUM(P154:S154)</f>
        <v>628.66584999999998</v>
      </c>
    </row>
    <row r="155" spans="2:25" x14ac:dyDescent="0.2">
      <c r="B155" s="9"/>
      <c r="H155" s="26">
        <f t="shared" ref="H155" si="142">H154/D154-1</f>
        <v>0.61975515680026816</v>
      </c>
      <c r="I155" s="26">
        <f t="shared" ref="I155" si="143">I154/E154-1</f>
        <v>0.42032165853376813</v>
      </c>
      <c r="J155" s="26">
        <f t="shared" ref="J155" si="144">J154/F154-1</f>
        <v>0.21101727975767037</v>
      </c>
      <c r="K155" s="26">
        <f t="shared" ref="K155" si="145">K154/G154-1</f>
        <v>0.21666098420275048</v>
      </c>
      <c r="L155" s="26">
        <f t="shared" ref="L155" si="146">L154/H154-1</f>
        <v>0.21778518625887799</v>
      </c>
      <c r="M155" s="26">
        <f t="shared" ref="M155" si="147">M154/I154-1</f>
        <v>0.38996747306363089</v>
      </c>
      <c r="N155" s="26">
        <f t="shared" ref="N155" si="148">N154/J154-1</f>
        <v>0.24702259699654161</v>
      </c>
      <c r="O155" s="26">
        <f t="shared" ref="O155" si="149">O154/K154-1</f>
        <v>0.31910998187830453</v>
      </c>
      <c r="P155" s="26">
        <f t="shared" ref="P155" si="150">P154/L154-1</f>
        <v>0.47900459951879348</v>
      </c>
      <c r="Q155" s="42">
        <f>CHOOSE($B$5,Q156,Q157,Q158)</f>
        <v>0.33</v>
      </c>
      <c r="R155" s="42">
        <f t="shared" ref="R155:S155" si="151">CHOOSE($B$5,R156,R157,R158)</f>
        <v>0</v>
      </c>
      <c r="S155" s="42">
        <f t="shared" si="151"/>
        <v>0</v>
      </c>
      <c r="W155" s="24">
        <f>W154/V154-1</f>
        <v>0.28557639837365056</v>
      </c>
      <c r="X155" s="24">
        <f>X154/W154-1</f>
        <v>0.29353354679621635</v>
      </c>
      <c r="Y155" s="24">
        <f>Y154/X154-1</f>
        <v>0.19246404109264259</v>
      </c>
    </row>
    <row r="156" spans="2:25" x14ac:dyDescent="0.2">
      <c r="B156" s="13" t="s">
        <v>31</v>
      </c>
      <c r="H156" s="31"/>
      <c r="I156" s="31"/>
      <c r="J156" s="31"/>
      <c r="K156" s="31"/>
      <c r="L156" s="31"/>
      <c r="M156" s="31"/>
      <c r="N156" s="31"/>
      <c r="O156" s="31"/>
      <c r="P156" s="31"/>
      <c r="Q156" s="48">
        <f>Q157-0.08</f>
        <v>0.25</v>
      </c>
      <c r="R156" s="48"/>
      <c r="S156" s="48"/>
    </row>
    <row r="157" spans="2:25" x14ac:dyDescent="0.2">
      <c r="B157" s="13" t="s">
        <v>30</v>
      </c>
      <c r="Q157" s="49">
        <v>0.33</v>
      </c>
      <c r="R157" s="49"/>
      <c r="S157" s="49"/>
    </row>
    <row r="158" spans="2:25" x14ac:dyDescent="0.2">
      <c r="B158" s="13" t="s">
        <v>32</v>
      </c>
      <c r="Q158" s="49">
        <f>Q157+0.04</f>
        <v>0.37</v>
      </c>
      <c r="R158" s="49"/>
      <c r="S158" s="49"/>
    </row>
    <row r="159" spans="2:25" x14ac:dyDescent="0.2">
      <c r="B159" s="9"/>
      <c r="Q159" s="53"/>
      <c r="R159" s="53"/>
      <c r="S159" s="53"/>
    </row>
    <row r="160" spans="2:25" x14ac:dyDescent="0.2">
      <c r="B160" s="9"/>
      <c r="Q160" s="53"/>
      <c r="R160" s="53"/>
      <c r="S160" s="53"/>
    </row>
    <row r="161" spans="1:25" x14ac:dyDescent="0.2">
      <c r="B161" s="9"/>
      <c r="Q161" s="53"/>
      <c r="R161" s="53"/>
      <c r="S161" s="53"/>
    </row>
    <row r="162" spans="1:25" x14ac:dyDescent="0.2">
      <c r="B162" s="9" t="s">
        <v>146</v>
      </c>
      <c r="D162" s="27">
        <v>2.165</v>
      </c>
      <c r="E162" s="27">
        <v>2.6760000000000002</v>
      </c>
      <c r="F162" s="27">
        <v>3.431</v>
      </c>
      <c r="G162" s="27">
        <v>4.7169999999999996</v>
      </c>
      <c r="H162" s="27">
        <v>4.165</v>
      </c>
      <c r="I162" s="27">
        <v>2.532</v>
      </c>
      <c r="J162" s="27">
        <v>3.2080000000000002</v>
      </c>
      <c r="K162" s="27">
        <v>2.8780000000000001</v>
      </c>
      <c r="L162" s="27">
        <v>3.488</v>
      </c>
      <c r="M162" s="27">
        <v>2.6619999999999999</v>
      </c>
      <c r="N162" s="27">
        <v>3.3380000000000001</v>
      </c>
      <c r="O162" s="27">
        <v>3.5910000000000002</v>
      </c>
      <c r="P162" s="27">
        <v>3.0760000000000001</v>
      </c>
      <c r="Q162" s="50">
        <f>M162+0.2</f>
        <v>2.8620000000000001</v>
      </c>
      <c r="R162" s="50">
        <f t="shared" ref="R162:S162" si="152">N162+0.2</f>
        <v>3.5380000000000003</v>
      </c>
      <c r="S162" s="50">
        <f t="shared" si="152"/>
        <v>3.7910000000000004</v>
      </c>
    </row>
    <row r="163" spans="1:25" x14ac:dyDescent="0.2">
      <c r="H163" s="24">
        <f>H162/D162-1</f>
        <v>0.92378752886836035</v>
      </c>
      <c r="I163" s="24">
        <f t="shared" ref="I163:P163" si="153">I162/E162-1</f>
        <v>-5.3811659192825156E-2</v>
      </c>
      <c r="J163" s="24">
        <f t="shared" si="153"/>
        <v>-6.4995628096764735E-2</v>
      </c>
      <c r="K163" s="24">
        <f t="shared" si="153"/>
        <v>-0.3898664405342378</v>
      </c>
      <c r="L163" s="24">
        <f t="shared" si="153"/>
        <v>-0.16254501800720289</v>
      </c>
      <c r="M163" s="24">
        <f t="shared" si="153"/>
        <v>5.1342812006319072E-2</v>
      </c>
      <c r="N163" s="24">
        <f t="shared" si="153"/>
        <v>4.0523690773067278E-2</v>
      </c>
      <c r="O163" s="24">
        <f t="shared" si="153"/>
        <v>0.24774148714384991</v>
      </c>
      <c r="P163" s="24">
        <f t="shared" si="153"/>
        <v>-0.11811926605504586</v>
      </c>
      <c r="Q163" s="42">
        <f t="shared" ref="Q163" si="154">Q162/M162-1</f>
        <v>7.5131480090157909E-2</v>
      </c>
      <c r="R163" s="42">
        <f t="shared" ref="R163" si="155">R162/N162-1</f>
        <v>5.9916117435590222E-2</v>
      </c>
      <c r="S163" s="42">
        <f t="shared" ref="S163" si="156">S162/O162-1</f>
        <v>5.5694792536897797E-2</v>
      </c>
    </row>
    <row r="164" spans="1:25" x14ac:dyDescent="0.2">
      <c r="H164" s="24"/>
      <c r="I164" s="24"/>
      <c r="J164" s="24"/>
      <c r="K164" s="24"/>
      <c r="L164" s="24"/>
      <c r="M164" s="24"/>
      <c r="N164" s="24"/>
      <c r="O164" s="24"/>
      <c r="P164" s="24"/>
    </row>
    <row r="165" spans="1:25" x14ac:dyDescent="0.2">
      <c r="H165" s="24"/>
      <c r="I165" s="24"/>
      <c r="J165" s="24"/>
      <c r="K165" s="24"/>
      <c r="L165" s="24"/>
      <c r="M165" s="24"/>
      <c r="N165" s="24"/>
      <c r="O165" s="24"/>
      <c r="P165" s="24"/>
    </row>
    <row r="166" spans="1:25" x14ac:dyDescent="0.2">
      <c r="A166" s="1" t="s">
        <v>21</v>
      </c>
      <c r="B166" s="5" t="s">
        <v>19</v>
      </c>
      <c r="C166" s="5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T166" s="6"/>
      <c r="U166" s="6"/>
      <c r="V166" s="6"/>
      <c r="W166" s="6"/>
      <c r="X166" s="6"/>
      <c r="Y166" s="6"/>
    </row>
    <row r="169" spans="1:25" x14ac:dyDescent="0.2">
      <c r="B169" s="1" t="s">
        <v>214</v>
      </c>
      <c r="F169" s="7"/>
      <c r="G169" s="7"/>
      <c r="H169" s="7"/>
      <c r="I169" s="7"/>
      <c r="J169" s="7"/>
      <c r="K169" s="7"/>
      <c r="L169" s="7">
        <f>+L172+L175</f>
        <v>-403</v>
      </c>
      <c r="M169" s="7"/>
      <c r="N169" s="7"/>
      <c r="O169" s="7"/>
      <c r="P169" s="7">
        <f>+P172+P175</f>
        <v>-495</v>
      </c>
    </row>
    <row r="170" spans="1:25" x14ac:dyDescent="0.2">
      <c r="B170" s="25" t="s">
        <v>140</v>
      </c>
      <c r="P170" s="26">
        <f>P169/L169-1</f>
        <v>0.22828784119106693</v>
      </c>
    </row>
    <row r="171" spans="1:25" x14ac:dyDescent="0.2">
      <c r="B171" s="25"/>
      <c r="P171" s="26"/>
    </row>
    <row r="172" spans="1:25" x14ac:dyDescent="0.2">
      <c r="B172" s="9" t="s">
        <v>25</v>
      </c>
      <c r="D172" s="7"/>
      <c r="E172" s="7"/>
      <c r="F172" s="7"/>
      <c r="G172" s="7"/>
      <c r="H172" s="7"/>
      <c r="I172" s="7"/>
      <c r="J172" s="7"/>
      <c r="K172" s="7"/>
      <c r="L172" s="7">
        <v>-318</v>
      </c>
      <c r="M172" s="7"/>
      <c r="N172" s="7"/>
      <c r="O172" s="7"/>
      <c r="P172" s="7">
        <v>-374</v>
      </c>
    </row>
    <row r="173" spans="1:25" x14ac:dyDescent="0.2">
      <c r="B173" s="47" t="s">
        <v>140</v>
      </c>
      <c r="P173" s="26">
        <f>P172/L172-1</f>
        <v>0.17610062893081757</v>
      </c>
    </row>
    <row r="174" spans="1:25" x14ac:dyDescent="0.2">
      <c r="B174" s="9"/>
    </row>
    <row r="175" spans="1:25" x14ac:dyDescent="0.2">
      <c r="B175" s="9" t="s">
        <v>26</v>
      </c>
      <c r="C175" s="7"/>
      <c r="D175" s="7"/>
      <c r="E175" s="7"/>
      <c r="F175" s="7"/>
      <c r="G175" s="7"/>
      <c r="H175" s="7"/>
      <c r="I175" s="7"/>
      <c r="J175" s="7"/>
      <c r="K175" s="7"/>
      <c r="L175" s="7">
        <v>-85</v>
      </c>
      <c r="M175" s="7"/>
      <c r="N175" s="7"/>
      <c r="O175" s="7"/>
      <c r="P175" s="7">
        <v>-121</v>
      </c>
    </row>
    <row r="176" spans="1:25" x14ac:dyDescent="0.2">
      <c r="B176" s="47" t="s">
        <v>140</v>
      </c>
      <c r="P176" s="26">
        <f>P175/L175-1</f>
        <v>0.42352941176470593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55DE5-6638-1248-962D-DE6EF14AF007}">
  <dimension ref="E6:H15"/>
  <sheetViews>
    <sheetView workbookViewId="0">
      <selection activeCell="J22" sqref="J22"/>
    </sheetView>
  </sheetViews>
  <sheetFormatPr baseColWidth="10" defaultRowHeight="16" x14ac:dyDescent="0.2"/>
  <sheetData>
    <row r="6" spans="5:8" x14ac:dyDescent="0.2">
      <c r="E6" t="s">
        <v>248</v>
      </c>
      <c r="F6">
        <v>19755</v>
      </c>
      <c r="G6">
        <v>18357</v>
      </c>
    </row>
    <row r="7" spans="5:8" x14ac:dyDescent="0.2">
      <c r="E7" t="s">
        <v>247</v>
      </c>
      <c r="F7">
        <v>8750</v>
      </c>
      <c r="G7">
        <v>8274</v>
      </c>
    </row>
    <row r="8" spans="5:8" x14ac:dyDescent="0.2">
      <c r="F8">
        <f>F6-F7</f>
        <v>11005</v>
      </c>
      <c r="G8">
        <f>G6-G7</f>
        <v>10083</v>
      </c>
    </row>
    <row r="9" spans="5:8" x14ac:dyDescent="0.2">
      <c r="F9" s="92">
        <f>F8/G8-1</f>
        <v>9.144103937320236E-2</v>
      </c>
    </row>
    <row r="11" spans="5:8" x14ac:dyDescent="0.2">
      <c r="F11">
        <v>10.1</v>
      </c>
      <c r="G11">
        <v>10.199999999999999</v>
      </c>
    </row>
    <row r="13" spans="5:8" x14ac:dyDescent="0.2">
      <c r="H13" s="93">
        <v>8.1000000000000003E-2</v>
      </c>
    </row>
    <row r="14" spans="5:8" x14ac:dyDescent="0.2">
      <c r="H14" s="93">
        <v>1.6E-2</v>
      </c>
    </row>
    <row r="15" spans="5:8" x14ac:dyDescent="0.2">
      <c r="H15" s="93">
        <f>H13-H14</f>
        <v>6.5000000000000002E-2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33E1B-1A46-024C-8B82-A04A20186C94}">
  <dimension ref="A4:R59"/>
  <sheetViews>
    <sheetView topLeftCell="A11" zoomScale="125" workbookViewId="0">
      <selection activeCell="G20" sqref="G20"/>
    </sheetView>
  </sheetViews>
  <sheetFormatPr baseColWidth="10" defaultRowHeight="16" x14ac:dyDescent="0.2"/>
  <cols>
    <col min="5" max="5" width="14.5" bestFit="1" customWidth="1"/>
    <col min="6" max="6" width="15.6640625" bestFit="1" customWidth="1"/>
    <col min="7" max="7" width="16.83203125" bestFit="1" customWidth="1"/>
    <col min="8" max="8" width="20.5" bestFit="1" customWidth="1"/>
    <col min="9" max="9" width="8.33203125" bestFit="1" customWidth="1"/>
  </cols>
  <sheetData>
    <row r="4" spans="2:10" x14ac:dyDescent="0.2">
      <c r="B4" t="s">
        <v>183</v>
      </c>
      <c r="C4" t="s">
        <v>181</v>
      </c>
      <c r="D4" t="s">
        <v>182</v>
      </c>
      <c r="E4" s="66" t="s">
        <v>180</v>
      </c>
      <c r="F4" s="66" t="s">
        <v>184</v>
      </c>
      <c r="G4" s="66" t="s">
        <v>161</v>
      </c>
      <c r="H4" s="66" t="s">
        <v>162</v>
      </c>
    </row>
    <row r="5" spans="2:10" x14ac:dyDescent="0.2">
      <c r="B5">
        <f>D5-C5+1</f>
        <v>91</v>
      </c>
      <c r="C5" s="67">
        <f>EOMONTH(D5,-3)</f>
        <v>44530</v>
      </c>
      <c r="D5" s="67">
        <v>44620</v>
      </c>
      <c r="E5" s="66" t="s">
        <v>163</v>
      </c>
      <c r="F5" s="66"/>
      <c r="G5" s="66"/>
      <c r="H5" s="66">
        <v>22.550999999999998</v>
      </c>
    </row>
    <row r="6" spans="2:10" x14ac:dyDescent="0.2">
      <c r="B6">
        <f t="shared" ref="B6:B22" si="0">D6-C6+1</f>
        <v>92</v>
      </c>
      <c r="C6" s="67">
        <f>D5+1</f>
        <v>44621</v>
      </c>
      <c r="D6" s="67">
        <f>EOMONTH(C6,2)</f>
        <v>44712</v>
      </c>
      <c r="E6" s="66" t="s">
        <v>164</v>
      </c>
      <c r="F6" s="66">
        <v>34.53</v>
      </c>
      <c r="G6" s="66">
        <v>13.2</v>
      </c>
      <c r="H6" s="66">
        <v>26.292000000000002</v>
      </c>
    </row>
    <row r="7" spans="2:10" x14ac:dyDescent="0.2">
      <c r="B7">
        <f t="shared" si="0"/>
        <v>92</v>
      </c>
      <c r="C7" s="67">
        <f t="shared" ref="C7:C22" si="1">D6+1</f>
        <v>44713</v>
      </c>
      <c r="D7" s="67">
        <f t="shared" ref="D7:D22" si="2">EOMONTH(C7,2)</f>
        <v>44804</v>
      </c>
      <c r="E7" s="66" t="s">
        <v>165</v>
      </c>
      <c r="F7" s="66"/>
      <c r="G7" s="66"/>
      <c r="H7" s="66">
        <v>39.933</v>
      </c>
    </row>
    <row r="8" spans="2:10" x14ac:dyDescent="0.2">
      <c r="B8">
        <f t="shared" si="0"/>
        <v>91</v>
      </c>
      <c r="C8" s="67">
        <f t="shared" si="1"/>
        <v>44805</v>
      </c>
      <c r="D8" s="67">
        <f t="shared" si="2"/>
        <v>44895</v>
      </c>
      <c r="E8" s="66" t="s">
        <v>166</v>
      </c>
      <c r="F8" s="66">
        <f>71.3-F6</f>
        <v>36.769999999999996</v>
      </c>
      <c r="G8" s="66">
        <v>27.108333999999999</v>
      </c>
      <c r="H8" s="66">
        <v>52.713999999999999</v>
      </c>
    </row>
    <row r="9" spans="2:10" x14ac:dyDescent="0.2">
      <c r="B9">
        <f t="shared" si="0"/>
        <v>90</v>
      </c>
      <c r="C9" s="67">
        <f t="shared" si="1"/>
        <v>44896</v>
      </c>
      <c r="D9" s="67">
        <f t="shared" si="2"/>
        <v>44985</v>
      </c>
      <c r="E9" s="66" t="s">
        <v>167</v>
      </c>
      <c r="F9" s="66"/>
      <c r="G9" s="66"/>
      <c r="H9" s="66">
        <v>54.502000000000002</v>
      </c>
    </row>
    <row r="10" spans="2:10" x14ac:dyDescent="0.2">
      <c r="B10">
        <f t="shared" si="0"/>
        <v>92</v>
      </c>
      <c r="C10" s="67">
        <f t="shared" si="1"/>
        <v>44986</v>
      </c>
      <c r="D10" s="67">
        <f t="shared" si="2"/>
        <v>45077</v>
      </c>
      <c r="E10" s="66" t="s">
        <v>168</v>
      </c>
      <c r="F10" s="66"/>
      <c r="G10" s="66">
        <v>14.425255</v>
      </c>
      <c r="H10" s="66">
        <v>59.63</v>
      </c>
    </row>
    <row r="11" spans="2:10" x14ac:dyDescent="0.2">
      <c r="B11">
        <f t="shared" si="0"/>
        <v>92</v>
      </c>
      <c r="C11" s="67">
        <f t="shared" si="1"/>
        <v>45078</v>
      </c>
      <c r="D11" s="67">
        <f t="shared" si="2"/>
        <v>45169</v>
      </c>
      <c r="E11" s="66" t="s">
        <v>169</v>
      </c>
      <c r="F11" s="66"/>
      <c r="G11" s="66"/>
      <c r="H11" s="66">
        <v>69.266000000000005</v>
      </c>
    </row>
    <row r="12" spans="2:10" x14ac:dyDescent="0.2">
      <c r="B12">
        <f t="shared" si="0"/>
        <v>91</v>
      </c>
      <c r="C12" s="67">
        <f t="shared" si="1"/>
        <v>45170</v>
      </c>
      <c r="D12" s="67">
        <f t="shared" si="2"/>
        <v>45260</v>
      </c>
      <c r="E12" s="66" t="s">
        <v>170</v>
      </c>
      <c r="F12" s="66"/>
      <c r="G12" s="66"/>
      <c r="H12" s="66">
        <v>87.153999999999996</v>
      </c>
    </row>
    <row r="13" spans="2:10" x14ac:dyDescent="0.2">
      <c r="B13">
        <f t="shared" si="0"/>
        <v>91</v>
      </c>
      <c r="C13" s="67">
        <f t="shared" si="1"/>
        <v>45261</v>
      </c>
      <c r="D13" s="67">
        <f t="shared" si="2"/>
        <v>45351</v>
      </c>
      <c r="E13" s="66" t="s">
        <v>171</v>
      </c>
      <c r="F13" s="66"/>
      <c r="G13" s="66"/>
      <c r="H13" s="66">
        <v>87.99</v>
      </c>
    </row>
    <row r="14" spans="2:10" x14ac:dyDescent="0.2">
      <c r="B14">
        <f t="shared" si="0"/>
        <v>92</v>
      </c>
      <c r="C14" s="67">
        <f t="shared" si="1"/>
        <v>45352</v>
      </c>
      <c r="D14" s="67">
        <f t="shared" si="2"/>
        <v>45443</v>
      </c>
      <c r="E14" s="66" t="s">
        <v>172</v>
      </c>
      <c r="F14" s="66"/>
      <c r="G14" s="66"/>
      <c r="H14" s="66">
        <v>96.585999999999999</v>
      </c>
    </row>
    <row r="15" spans="2:10" x14ac:dyDescent="0.2">
      <c r="B15">
        <f t="shared" si="0"/>
        <v>92</v>
      </c>
      <c r="C15" s="67">
        <f t="shared" si="1"/>
        <v>45444</v>
      </c>
      <c r="D15" s="67">
        <f t="shared" si="2"/>
        <v>45535</v>
      </c>
      <c r="E15" s="66" t="s">
        <v>173</v>
      </c>
      <c r="F15" s="66">
        <v>56.1</v>
      </c>
      <c r="G15" s="66">
        <v>19.600000000000001</v>
      </c>
      <c r="H15" s="66">
        <v>98.38</v>
      </c>
      <c r="J15" t="s">
        <v>185</v>
      </c>
    </row>
    <row r="16" spans="2:10" ht="17" thickBot="1" x14ac:dyDescent="0.25">
      <c r="B16">
        <f t="shared" si="0"/>
        <v>91</v>
      </c>
      <c r="C16" s="67">
        <f t="shared" si="1"/>
        <v>45536</v>
      </c>
      <c r="D16" s="67">
        <f t="shared" si="2"/>
        <v>45626</v>
      </c>
      <c r="E16" s="66" t="s">
        <v>174</v>
      </c>
      <c r="F16" s="68">
        <f>AVERAGE(F15,F17)</f>
        <v>59.5</v>
      </c>
      <c r="G16" s="68">
        <f>AVERAGE(G15,G17)</f>
        <v>19.600000000000001</v>
      </c>
      <c r="H16" s="66">
        <v>105.545</v>
      </c>
    </row>
    <row r="17" spans="1:18" x14ac:dyDescent="0.2">
      <c r="B17">
        <f t="shared" si="0"/>
        <v>90</v>
      </c>
      <c r="C17" s="67">
        <f t="shared" si="1"/>
        <v>45627</v>
      </c>
      <c r="D17" s="67">
        <f t="shared" si="2"/>
        <v>45716</v>
      </c>
      <c r="E17" s="66" t="s">
        <v>175</v>
      </c>
      <c r="F17" s="66">
        <v>62.9</v>
      </c>
      <c r="G17" s="66">
        <v>19.600000000000001</v>
      </c>
      <c r="H17" s="66">
        <v>107.054</v>
      </c>
      <c r="J17" s="72" t="s">
        <v>186</v>
      </c>
      <c r="K17" s="72"/>
    </row>
    <row r="18" spans="1:18" x14ac:dyDescent="0.2">
      <c r="B18">
        <f t="shared" si="0"/>
        <v>92</v>
      </c>
      <c r="C18" s="67">
        <f t="shared" si="1"/>
        <v>45717</v>
      </c>
      <c r="D18" s="67">
        <f t="shared" si="2"/>
        <v>45808</v>
      </c>
      <c r="E18" s="66" t="s">
        <v>176</v>
      </c>
      <c r="F18" s="68">
        <f>AVERAGE(F17,F19)</f>
        <v>60.9</v>
      </c>
      <c r="G18" s="68">
        <f>AVERAGE(G17,G19)</f>
        <v>20.450000000000003</v>
      </c>
      <c r="H18" s="66">
        <v>117.621</v>
      </c>
      <c r="I18" s="73">
        <f>H18/H14-1</f>
        <v>0.21778518625887799</v>
      </c>
      <c r="J18" s="69" t="s">
        <v>187</v>
      </c>
      <c r="K18" s="69">
        <v>0.97594087044357269</v>
      </c>
    </row>
    <row r="19" spans="1:18" x14ac:dyDescent="0.2">
      <c r="A19" s="73"/>
      <c r="B19">
        <f t="shared" si="0"/>
        <v>92</v>
      </c>
      <c r="C19" s="67">
        <f t="shared" si="1"/>
        <v>45809</v>
      </c>
      <c r="D19" s="67">
        <f t="shared" si="2"/>
        <v>45900</v>
      </c>
      <c r="E19" s="66" t="s">
        <v>177</v>
      </c>
      <c r="F19" s="66">
        <v>58.9</v>
      </c>
      <c r="G19" s="66">
        <v>21.3</v>
      </c>
      <c r="H19" s="66">
        <v>136.745</v>
      </c>
      <c r="I19" s="73">
        <f t="shared" ref="I19:I25" si="3">H19/H15-1</f>
        <v>0.38996747306363089</v>
      </c>
      <c r="J19" s="69" t="s">
        <v>188</v>
      </c>
      <c r="K19" s="69">
        <v>0.95246058260215827</v>
      </c>
    </row>
    <row r="20" spans="1:18" x14ac:dyDescent="0.2">
      <c r="A20" s="73"/>
      <c r="B20">
        <f t="shared" si="0"/>
        <v>91</v>
      </c>
      <c r="C20" s="67">
        <f t="shared" si="1"/>
        <v>45901</v>
      </c>
      <c r="D20" s="67">
        <f t="shared" si="2"/>
        <v>45991</v>
      </c>
      <c r="E20" s="66" t="s">
        <v>178</v>
      </c>
      <c r="F20" s="68">
        <f>AVERAGE(F19,F21)</f>
        <v>60.15</v>
      </c>
      <c r="G20" s="68">
        <f>AVERAGE(G19,G21)</f>
        <v>21.4</v>
      </c>
      <c r="H20" s="66">
        <v>131.61699999999999</v>
      </c>
      <c r="I20" s="73">
        <f t="shared" si="3"/>
        <v>0.24702259699654161</v>
      </c>
      <c r="J20" s="69" t="s">
        <v>189</v>
      </c>
      <c r="K20" s="69">
        <v>0.94295269912258983</v>
      </c>
    </row>
    <row r="21" spans="1:18" x14ac:dyDescent="0.2">
      <c r="A21" s="73"/>
      <c r="B21">
        <f t="shared" si="0"/>
        <v>90</v>
      </c>
      <c r="C21" s="67">
        <f t="shared" si="1"/>
        <v>45992</v>
      </c>
      <c r="D21" s="67">
        <f t="shared" si="2"/>
        <v>46081</v>
      </c>
      <c r="E21" s="66" t="s">
        <v>48</v>
      </c>
      <c r="F21" s="66">
        <v>61.4</v>
      </c>
      <c r="G21" s="66">
        <v>21.5</v>
      </c>
      <c r="H21" s="66">
        <v>141.21600000000001</v>
      </c>
      <c r="I21" s="73">
        <f t="shared" si="3"/>
        <v>0.31910998187830453</v>
      </c>
      <c r="J21" s="69" t="s">
        <v>190</v>
      </c>
      <c r="K21" s="69">
        <v>4.0376287920908851</v>
      </c>
    </row>
    <row r="22" spans="1:18" ht="17" thickBot="1" x14ac:dyDescent="0.25">
      <c r="B22">
        <f t="shared" si="0"/>
        <v>92</v>
      </c>
      <c r="C22" s="67">
        <f t="shared" si="1"/>
        <v>46082</v>
      </c>
      <c r="D22" s="67">
        <f t="shared" si="2"/>
        <v>46173</v>
      </c>
      <c r="E22" s="66" t="s">
        <v>179</v>
      </c>
      <c r="F22" s="66"/>
      <c r="G22" s="74">
        <f>(1.09)*G18</f>
        <v>22.290500000000005</v>
      </c>
      <c r="H22" s="66">
        <v>173.96199999999999</v>
      </c>
      <c r="I22" s="73">
        <f t="shared" si="3"/>
        <v>0.47900459951879348</v>
      </c>
      <c r="J22" s="70" t="s">
        <v>191</v>
      </c>
      <c r="K22" s="70">
        <v>7</v>
      </c>
    </row>
    <row r="23" spans="1:18" x14ac:dyDescent="0.2">
      <c r="G23" s="74">
        <f>(1.09)*G19</f>
        <v>23.217000000000002</v>
      </c>
      <c r="H23" s="74">
        <f>G23*(H19/G19)</f>
        <v>149.05205000000001</v>
      </c>
      <c r="I23" s="73">
        <f t="shared" si="3"/>
        <v>9.000000000000008E-2</v>
      </c>
    </row>
    <row r="24" spans="1:18" ht="17" thickBot="1" x14ac:dyDescent="0.25">
      <c r="G24" s="74">
        <f t="shared" ref="G24:G25" si="4">(1.09)*G20</f>
        <v>23.326000000000001</v>
      </c>
      <c r="H24" s="74">
        <f t="shared" ref="H24:H25" si="5">G24*(H20/G20)</f>
        <v>143.46252999999999</v>
      </c>
      <c r="I24" s="73">
        <f t="shared" si="3"/>
        <v>9.000000000000008E-2</v>
      </c>
      <c r="J24" t="s">
        <v>192</v>
      </c>
    </row>
    <row r="25" spans="1:18" x14ac:dyDescent="0.2">
      <c r="E25">
        <f>G19/G15-1</f>
        <v>8.6734693877551061E-2</v>
      </c>
      <c r="G25" s="74">
        <f t="shared" si="4"/>
        <v>23.435000000000002</v>
      </c>
      <c r="H25" s="74">
        <f t="shared" si="5"/>
        <v>153.92544000000001</v>
      </c>
      <c r="I25" s="73">
        <f t="shared" si="3"/>
        <v>9.000000000000008E-2</v>
      </c>
      <c r="J25" s="71"/>
      <c r="K25" s="71" t="s">
        <v>197</v>
      </c>
      <c r="L25" s="71" t="s">
        <v>198</v>
      </c>
      <c r="M25" s="71" t="s">
        <v>199</v>
      </c>
      <c r="N25" s="71" t="s">
        <v>200</v>
      </c>
      <c r="O25" s="71" t="s">
        <v>201</v>
      </c>
    </row>
    <row r="26" spans="1:18" x14ac:dyDescent="0.2">
      <c r="E26">
        <f t="shared" ref="E26:E29" si="6">G20/G16-1</f>
        <v>9.183673469387732E-2</v>
      </c>
      <c r="J26" s="69" t="s">
        <v>193</v>
      </c>
      <c r="K26" s="69">
        <v>1</v>
      </c>
      <c r="L26" s="69">
        <v>1633.1118801149653</v>
      </c>
      <c r="M26" s="69">
        <v>1633.1118801149653</v>
      </c>
      <c r="N26" s="69">
        <v>100.1758787482951</v>
      </c>
      <c r="O26" s="69">
        <v>1.7022877495636177E-4</v>
      </c>
    </row>
    <row r="27" spans="1:18" x14ac:dyDescent="0.2">
      <c r="E27">
        <f t="shared" si="6"/>
        <v>9.6938775510204023E-2</v>
      </c>
      <c r="G27" s="74">
        <f>H27/H19-1</f>
        <v>0.11662762806684013</v>
      </c>
      <c r="H27">
        <f>-255+18.29*G22</f>
        <v>152.69324500000005</v>
      </c>
      <c r="J27" s="69" t="s">
        <v>194</v>
      </c>
      <c r="K27" s="69">
        <v>5</v>
      </c>
      <c r="L27" s="69">
        <v>81.512231313606478</v>
      </c>
      <c r="M27" s="69">
        <v>16.302446262721297</v>
      </c>
      <c r="N27" s="69"/>
      <c r="O27" s="69"/>
    </row>
    <row r="28" spans="1:18" ht="17" thickBot="1" x14ac:dyDescent="0.25">
      <c r="E28">
        <f t="shared" si="6"/>
        <v>9.000000000000008E-2</v>
      </c>
      <c r="H28">
        <f t="shared" ref="H28:H30" si="7">-255+18.29*G23</f>
        <v>169.63893000000002</v>
      </c>
      <c r="J28" s="70" t="s">
        <v>195</v>
      </c>
      <c r="K28" s="70">
        <v>6</v>
      </c>
      <c r="L28" s="70">
        <v>1714.6241114285717</v>
      </c>
      <c r="M28" s="70"/>
      <c r="N28" s="70"/>
      <c r="O28" s="70"/>
    </row>
    <row r="29" spans="1:18" ht="17" thickBot="1" x14ac:dyDescent="0.25">
      <c r="E29">
        <f t="shared" si="6"/>
        <v>9.000000000000008E-2</v>
      </c>
      <c r="G29">
        <f>G22/G18-1</f>
        <v>9.000000000000008E-2</v>
      </c>
      <c r="H29">
        <f t="shared" si="7"/>
        <v>171.63254000000001</v>
      </c>
    </row>
    <row r="30" spans="1:18" x14ac:dyDescent="0.2">
      <c r="H30">
        <f t="shared" si="7"/>
        <v>173.62615</v>
      </c>
      <c r="J30" s="71"/>
      <c r="K30" s="71" t="s">
        <v>202</v>
      </c>
      <c r="L30" s="71" t="s">
        <v>190</v>
      </c>
      <c r="M30" s="71" t="s">
        <v>203</v>
      </c>
      <c r="N30" s="71" t="s">
        <v>204</v>
      </c>
      <c r="O30" s="71" t="s">
        <v>205</v>
      </c>
      <c r="P30" s="71" t="s">
        <v>206</v>
      </c>
      <c r="Q30" s="71" t="s">
        <v>207</v>
      </c>
      <c r="R30" s="71" t="s">
        <v>208</v>
      </c>
    </row>
    <row r="31" spans="1:18" x14ac:dyDescent="0.2">
      <c r="J31" s="69" t="s">
        <v>196</v>
      </c>
      <c r="K31" s="69">
        <v>-255.06516847110504</v>
      </c>
      <c r="L31" s="69">
        <v>37.478654435947632</v>
      </c>
      <c r="M31" s="69">
        <v>-6.8056116824316781</v>
      </c>
      <c r="N31" s="69">
        <v>1.0432988193496539E-3</v>
      </c>
      <c r="O31" s="69">
        <v>-351.40711678824243</v>
      </c>
      <c r="P31" s="69">
        <v>-158.72322015396765</v>
      </c>
      <c r="Q31" s="69">
        <v>-351.40711678824243</v>
      </c>
      <c r="R31" s="69">
        <v>-158.72322015396765</v>
      </c>
    </row>
    <row r="32" spans="1:18" ht="17" thickBot="1" x14ac:dyDescent="0.25">
      <c r="J32" s="70" t="s">
        <v>209</v>
      </c>
      <c r="K32" s="70">
        <v>18.289537673738135</v>
      </c>
      <c r="L32" s="70">
        <v>1.8273475153590211</v>
      </c>
      <c r="M32" s="70">
        <v>10.008790074144581</v>
      </c>
      <c r="N32" s="70">
        <v>1.7022877495636177E-4</v>
      </c>
      <c r="O32" s="70">
        <v>13.592191343361083</v>
      </c>
      <c r="P32" s="70">
        <v>22.986884004115186</v>
      </c>
      <c r="Q32" s="70">
        <v>13.592191343361083</v>
      </c>
      <c r="R32" s="70">
        <v>22.986884004115186</v>
      </c>
    </row>
    <row r="35" spans="10:11" x14ac:dyDescent="0.2">
      <c r="J35" t="s">
        <v>210</v>
      </c>
    </row>
    <row r="42" spans="10:11" x14ac:dyDescent="0.2">
      <c r="J42" t="s">
        <v>185</v>
      </c>
    </row>
    <row r="43" spans="10:11" ht="17" thickBot="1" x14ac:dyDescent="0.25"/>
    <row r="44" spans="10:11" x14ac:dyDescent="0.2">
      <c r="J44" s="72" t="s">
        <v>186</v>
      </c>
      <c r="K44" s="72"/>
    </row>
    <row r="45" spans="10:11" x14ac:dyDescent="0.2">
      <c r="J45" s="69" t="s">
        <v>187</v>
      </c>
      <c r="K45" s="69">
        <v>0.29665060178348041</v>
      </c>
    </row>
    <row r="46" spans="10:11" x14ac:dyDescent="0.2">
      <c r="J46" s="69" t="s">
        <v>188</v>
      </c>
      <c r="K46" s="69">
        <v>8.8001579538501074E-2</v>
      </c>
    </row>
    <row r="47" spans="10:11" x14ac:dyDescent="0.2">
      <c r="J47" s="69" t="s">
        <v>189</v>
      </c>
      <c r="K47" s="69">
        <v>-9.4398104553798712E-2</v>
      </c>
    </row>
    <row r="48" spans="10:11" x14ac:dyDescent="0.2">
      <c r="J48" s="69" t="s">
        <v>190</v>
      </c>
      <c r="K48" s="69">
        <v>17.684651431724962</v>
      </c>
    </row>
    <row r="49" spans="10:18" ht="17" thickBot="1" x14ac:dyDescent="0.25">
      <c r="J49" s="70" t="s">
        <v>191</v>
      </c>
      <c r="K49" s="70">
        <v>7</v>
      </c>
    </row>
    <row r="51" spans="10:18" ht="17" thickBot="1" x14ac:dyDescent="0.25">
      <c r="J51" t="s">
        <v>192</v>
      </c>
    </row>
    <row r="52" spans="10:18" x14ac:dyDescent="0.2">
      <c r="J52" s="71"/>
      <c r="K52" s="71" t="s">
        <v>197</v>
      </c>
      <c r="L52" s="71" t="s">
        <v>198</v>
      </c>
      <c r="M52" s="71" t="s">
        <v>199</v>
      </c>
      <c r="N52" s="71" t="s">
        <v>200</v>
      </c>
      <c r="O52" s="71" t="s">
        <v>201</v>
      </c>
    </row>
    <row r="53" spans="10:18" x14ac:dyDescent="0.2">
      <c r="J53" s="69" t="s">
        <v>193</v>
      </c>
      <c r="K53" s="69">
        <v>1</v>
      </c>
      <c r="L53" s="69">
        <v>150.88963012051317</v>
      </c>
      <c r="M53" s="69">
        <v>150.88963012051317</v>
      </c>
      <c r="N53" s="69">
        <v>0.48246563570784251</v>
      </c>
      <c r="O53" s="69">
        <v>0.5182538687362519</v>
      </c>
    </row>
    <row r="54" spans="10:18" x14ac:dyDescent="0.2">
      <c r="J54" s="69" t="s">
        <v>194</v>
      </c>
      <c r="K54" s="69">
        <v>5</v>
      </c>
      <c r="L54" s="69">
        <v>1563.7344813080585</v>
      </c>
      <c r="M54" s="69">
        <v>312.74689626161171</v>
      </c>
      <c r="N54" s="69"/>
      <c r="O54" s="69"/>
    </row>
    <row r="55" spans="10:18" ht="17" thickBot="1" x14ac:dyDescent="0.25">
      <c r="J55" s="70" t="s">
        <v>195</v>
      </c>
      <c r="K55" s="70">
        <v>6</v>
      </c>
      <c r="L55" s="70">
        <v>1714.6241114285717</v>
      </c>
      <c r="M55" s="70"/>
      <c r="N55" s="70"/>
      <c r="O55" s="70"/>
    </row>
    <row r="56" spans="10:18" ht="17" thickBot="1" x14ac:dyDescent="0.25"/>
    <row r="57" spans="10:18" x14ac:dyDescent="0.2">
      <c r="J57" s="71"/>
      <c r="K57" s="71" t="s">
        <v>202</v>
      </c>
      <c r="L57" s="71" t="s">
        <v>190</v>
      </c>
      <c r="M57" s="71" t="s">
        <v>203</v>
      </c>
      <c r="N57" s="71" t="s">
        <v>204</v>
      </c>
      <c r="O57" s="71" t="s">
        <v>205</v>
      </c>
      <c r="P57" s="71" t="s">
        <v>206</v>
      </c>
      <c r="Q57" s="71" t="s">
        <v>207</v>
      </c>
      <c r="R57" s="71" t="s">
        <v>208</v>
      </c>
    </row>
    <row r="58" spans="10:18" x14ac:dyDescent="0.2">
      <c r="J58" s="69" t="s">
        <v>196</v>
      </c>
      <c r="K58" s="69">
        <v>-19.820907437783518</v>
      </c>
      <c r="L58" s="69">
        <v>201.03417398862754</v>
      </c>
      <c r="M58" s="69">
        <v>-9.859471673161789E-2</v>
      </c>
      <c r="N58" s="69">
        <v>0.92529076390690723</v>
      </c>
      <c r="O58" s="69">
        <v>-536.59570343510006</v>
      </c>
      <c r="P58" s="69">
        <v>496.95388855953303</v>
      </c>
      <c r="Q58" s="69">
        <v>-536.59570343510006</v>
      </c>
      <c r="R58" s="69">
        <v>496.95388855953303</v>
      </c>
    </row>
    <row r="59" spans="10:18" ht="17" thickBot="1" x14ac:dyDescent="0.25">
      <c r="J59" s="70" t="s">
        <v>209</v>
      </c>
      <c r="K59" s="70">
        <v>2.3268413768357386</v>
      </c>
      <c r="L59" s="70">
        <v>3.3499134398511927</v>
      </c>
      <c r="M59" s="70">
        <v>0.69459746307328463</v>
      </c>
      <c r="N59" s="70">
        <v>0.5182538687362519</v>
      </c>
      <c r="O59" s="70">
        <v>-6.2843852625997032</v>
      </c>
      <c r="P59" s="70">
        <v>10.938068016271179</v>
      </c>
      <c r="Q59" s="70">
        <v>-6.2843852625997032</v>
      </c>
      <c r="R59" s="70">
        <v>10.938068016271179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74232-8A12-8E41-B3BE-108271EBDA72}">
  <dimension ref="B3:C155"/>
  <sheetViews>
    <sheetView topLeftCell="A124" workbookViewId="0">
      <selection activeCell="B155" sqref="B155"/>
    </sheetView>
  </sheetViews>
  <sheetFormatPr baseColWidth="10" defaultRowHeight="16" x14ac:dyDescent="0.2"/>
  <cols>
    <col min="1" max="1" width="10.83203125" style="1"/>
    <col min="2" max="2" width="13" style="1" customWidth="1"/>
    <col min="3" max="16384" width="10.83203125" style="1"/>
  </cols>
  <sheetData>
    <row r="3" spans="2:3" x14ac:dyDescent="0.2">
      <c r="B3" s="19" t="s">
        <v>89</v>
      </c>
    </row>
    <row r="4" spans="2:3" x14ac:dyDescent="0.2">
      <c r="B4" s="20" t="s">
        <v>95</v>
      </c>
      <c r="C4" s="1" t="s">
        <v>90</v>
      </c>
    </row>
    <row r="5" spans="2:3" x14ac:dyDescent="0.2">
      <c r="B5" s="21" t="s">
        <v>91</v>
      </c>
      <c r="C5" s="1" t="s">
        <v>92</v>
      </c>
    </row>
    <row r="6" spans="2:3" x14ac:dyDescent="0.2">
      <c r="B6" s="22" t="s">
        <v>93</v>
      </c>
      <c r="C6" s="1" t="s">
        <v>94</v>
      </c>
    </row>
    <row r="8" spans="2:3" x14ac:dyDescent="0.2">
      <c r="B8" s="1" t="s">
        <v>41</v>
      </c>
    </row>
    <row r="9" spans="2:3" x14ac:dyDescent="0.2">
      <c r="B9" s="1" t="s">
        <v>129</v>
      </c>
    </row>
    <row r="10" spans="2:3" x14ac:dyDescent="0.2">
      <c r="B10" s="1" t="s">
        <v>42</v>
      </c>
    </row>
    <row r="11" spans="2:3" x14ac:dyDescent="0.2">
      <c r="B11" s="1" t="s">
        <v>43</v>
      </c>
    </row>
    <row r="12" spans="2:3" x14ac:dyDescent="0.2">
      <c r="B12" s="1" t="s">
        <v>44</v>
      </c>
    </row>
    <row r="13" spans="2:3" x14ac:dyDescent="0.2">
      <c r="B13" s="1" t="s">
        <v>45</v>
      </c>
    </row>
    <row r="14" spans="2:3" x14ac:dyDescent="0.2">
      <c r="B14" s="1" t="s">
        <v>46</v>
      </c>
    </row>
    <row r="15" spans="2:3" x14ac:dyDescent="0.2">
      <c r="B15" s="1" t="s">
        <v>47</v>
      </c>
    </row>
    <row r="16" spans="2:3" x14ac:dyDescent="0.2">
      <c r="B16" s="1" t="s">
        <v>51</v>
      </c>
    </row>
    <row r="17" spans="2:2" x14ac:dyDescent="0.2">
      <c r="B17" s="1" t="s">
        <v>52</v>
      </c>
    </row>
    <row r="19" spans="2:2" x14ac:dyDescent="0.2">
      <c r="B19" s="1" t="s">
        <v>53</v>
      </c>
    </row>
    <row r="20" spans="2:2" x14ac:dyDescent="0.2">
      <c r="B20" s="1" t="s">
        <v>54</v>
      </c>
    </row>
    <row r="22" spans="2:2" x14ac:dyDescent="0.2">
      <c r="B22" s="1" t="s">
        <v>55</v>
      </c>
    </row>
    <row r="23" spans="2:2" x14ac:dyDescent="0.2">
      <c r="B23" s="1" t="s">
        <v>67</v>
      </c>
    </row>
    <row r="26" spans="2:2" x14ac:dyDescent="0.2">
      <c r="B26" s="19" t="s">
        <v>70</v>
      </c>
    </row>
    <row r="27" spans="2:2" x14ac:dyDescent="0.2">
      <c r="B27" s="1" t="s">
        <v>68</v>
      </c>
    </row>
    <row r="28" spans="2:2" x14ac:dyDescent="0.2">
      <c r="B28" s="1" t="s">
        <v>69</v>
      </c>
    </row>
    <row r="30" spans="2:2" x14ac:dyDescent="0.2">
      <c r="B30" s="19" t="s">
        <v>59</v>
      </c>
    </row>
    <row r="31" spans="2:2" x14ac:dyDescent="0.2">
      <c r="B31" s="1" t="s">
        <v>58</v>
      </c>
    </row>
    <row r="32" spans="2:2" x14ac:dyDescent="0.2">
      <c r="B32" s="1" t="s">
        <v>60</v>
      </c>
    </row>
    <row r="35" spans="2:2" x14ac:dyDescent="0.2">
      <c r="B35" s="19" t="s">
        <v>66</v>
      </c>
    </row>
    <row r="36" spans="2:2" x14ac:dyDescent="0.2">
      <c r="B36" s="1" t="s">
        <v>61</v>
      </c>
    </row>
    <row r="37" spans="2:2" x14ac:dyDescent="0.2">
      <c r="B37" s="1" t="s">
        <v>62</v>
      </c>
    </row>
    <row r="38" spans="2:2" x14ac:dyDescent="0.2">
      <c r="B38" s="1" t="s">
        <v>63</v>
      </c>
    </row>
    <row r="39" spans="2:2" x14ac:dyDescent="0.2">
      <c r="B39" s="1" t="s">
        <v>64</v>
      </c>
    </row>
    <row r="40" spans="2:2" x14ac:dyDescent="0.2">
      <c r="B40" s="1" t="s">
        <v>65</v>
      </c>
    </row>
    <row r="43" spans="2:2" x14ac:dyDescent="0.2">
      <c r="B43" s="19" t="s">
        <v>56</v>
      </c>
    </row>
    <row r="44" spans="2:2" x14ac:dyDescent="0.2">
      <c r="B44" s="1" t="s">
        <v>57</v>
      </c>
    </row>
    <row r="45" spans="2:2" x14ac:dyDescent="0.2">
      <c r="B45" s="21" t="s">
        <v>87</v>
      </c>
    </row>
    <row r="46" spans="2:2" x14ac:dyDescent="0.2">
      <c r="B46" s="21" t="s">
        <v>88</v>
      </c>
    </row>
    <row r="50" spans="2:2" x14ac:dyDescent="0.2">
      <c r="B50" s="19" t="s">
        <v>71</v>
      </c>
    </row>
    <row r="51" spans="2:2" x14ac:dyDescent="0.2">
      <c r="B51" s="1" t="s">
        <v>72</v>
      </c>
    </row>
    <row r="52" spans="2:2" x14ac:dyDescent="0.2">
      <c r="B52" s="1" t="s">
        <v>73</v>
      </c>
    </row>
    <row r="53" spans="2:2" x14ac:dyDescent="0.2">
      <c r="B53" s="1" t="s">
        <v>74</v>
      </c>
    </row>
    <row r="54" spans="2:2" x14ac:dyDescent="0.2">
      <c r="B54" s="1" t="s">
        <v>75</v>
      </c>
    </row>
    <row r="55" spans="2:2" x14ac:dyDescent="0.2">
      <c r="B55" s="1" t="s">
        <v>118</v>
      </c>
    </row>
    <row r="56" spans="2:2" x14ac:dyDescent="0.2">
      <c r="B56" s="1" t="s">
        <v>119</v>
      </c>
    </row>
    <row r="57" spans="2:2" x14ac:dyDescent="0.2">
      <c r="B57" s="1" t="s">
        <v>120</v>
      </c>
    </row>
    <row r="58" spans="2:2" x14ac:dyDescent="0.2">
      <c r="B58" s="1" t="s">
        <v>121</v>
      </c>
    </row>
    <row r="59" spans="2:2" x14ac:dyDescent="0.2">
      <c r="B59" s="1" t="s">
        <v>123</v>
      </c>
    </row>
    <row r="60" spans="2:2" x14ac:dyDescent="0.2">
      <c r="B60" s="1" t="s">
        <v>122</v>
      </c>
    </row>
    <row r="61" spans="2:2" x14ac:dyDescent="0.2">
      <c r="B61" s="23" t="s">
        <v>128</v>
      </c>
    </row>
    <row r="67" spans="2:2" x14ac:dyDescent="0.2">
      <c r="B67" s="19" t="s">
        <v>76</v>
      </c>
    </row>
    <row r="68" spans="2:2" x14ac:dyDescent="0.2">
      <c r="B68" s="1" t="s">
        <v>77</v>
      </c>
    </row>
    <row r="69" spans="2:2" x14ac:dyDescent="0.2">
      <c r="B69" s="1" t="s">
        <v>78</v>
      </c>
    </row>
    <row r="70" spans="2:2" x14ac:dyDescent="0.2">
      <c r="B70" s="1" t="s">
        <v>79</v>
      </c>
    </row>
    <row r="73" spans="2:2" x14ac:dyDescent="0.2">
      <c r="B73" s="19" t="s">
        <v>80</v>
      </c>
    </row>
    <row r="74" spans="2:2" x14ac:dyDescent="0.2">
      <c r="B74" s="1" t="s">
        <v>81</v>
      </c>
    </row>
    <row r="75" spans="2:2" x14ac:dyDescent="0.2">
      <c r="B75" s="1" t="s">
        <v>82</v>
      </c>
    </row>
    <row r="76" spans="2:2" x14ac:dyDescent="0.2">
      <c r="B76" s="1" t="s">
        <v>83</v>
      </c>
    </row>
    <row r="77" spans="2:2" x14ac:dyDescent="0.2">
      <c r="B77" s="1" t="s">
        <v>84</v>
      </c>
    </row>
    <row r="78" spans="2:2" x14ac:dyDescent="0.2">
      <c r="B78" s="1" t="s">
        <v>85</v>
      </c>
    </row>
    <row r="79" spans="2:2" x14ac:dyDescent="0.2">
      <c r="B79" s="20" t="s">
        <v>86</v>
      </c>
    </row>
    <row r="82" spans="2:2" x14ac:dyDescent="0.2">
      <c r="B82" s="19" t="s">
        <v>96</v>
      </c>
    </row>
    <row r="83" spans="2:2" x14ac:dyDescent="0.2">
      <c r="B83" s="1" t="s">
        <v>97</v>
      </c>
    </row>
    <row r="84" spans="2:2" x14ac:dyDescent="0.2">
      <c r="B84" s="1" t="s">
        <v>98</v>
      </c>
    </row>
    <row r="87" spans="2:2" x14ac:dyDescent="0.2">
      <c r="B87" s="19" t="s">
        <v>99</v>
      </c>
    </row>
    <row r="88" spans="2:2" x14ac:dyDescent="0.2">
      <c r="B88" s="1" t="s">
        <v>100</v>
      </c>
    </row>
    <row r="89" spans="2:2" x14ac:dyDescent="0.2">
      <c r="B89" s="1" t="s">
        <v>101</v>
      </c>
    </row>
    <row r="91" spans="2:2" x14ac:dyDescent="0.2">
      <c r="B91" s="19" t="s">
        <v>130</v>
      </c>
    </row>
    <row r="92" spans="2:2" x14ac:dyDescent="0.2">
      <c r="B92" s="1" t="s">
        <v>102</v>
      </c>
    </row>
    <row r="93" spans="2:2" x14ac:dyDescent="0.2">
      <c r="B93" s="1" t="s">
        <v>103</v>
      </c>
    </row>
    <row r="94" spans="2:2" x14ac:dyDescent="0.2">
      <c r="B94" s="1" t="s">
        <v>104</v>
      </c>
    </row>
    <row r="95" spans="2:2" x14ac:dyDescent="0.2">
      <c r="B95" s="1" t="s">
        <v>105</v>
      </c>
    </row>
    <row r="96" spans="2:2" x14ac:dyDescent="0.2">
      <c r="B96" s="1" t="s">
        <v>106</v>
      </c>
    </row>
    <row r="98" spans="2:2" x14ac:dyDescent="0.2">
      <c r="B98" s="1" t="s">
        <v>131</v>
      </c>
    </row>
    <row r="100" spans="2:2" x14ac:dyDescent="0.2">
      <c r="B100" s="19" t="s">
        <v>132</v>
      </c>
    </row>
    <row r="103" spans="2:2" x14ac:dyDescent="0.2">
      <c r="B103" s="19" t="s">
        <v>107</v>
      </c>
    </row>
    <row r="104" spans="2:2" x14ac:dyDescent="0.2">
      <c r="B104" s="1" t="s">
        <v>133</v>
      </c>
    </row>
    <row r="105" spans="2:2" x14ac:dyDescent="0.2">
      <c r="B105" s="1" t="s">
        <v>134</v>
      </c>
    </row>
    <row r="106" spans="2:2" x14ac:dyDescent="0.2">
      <c r="B106" s="1" t="s">
        <v>135</v>
      </c>
    </row>
    <row r="107" spans="2:2" x14ac:dyDescent="0.2">
      <c r="B107" s="1" t="s">
        <v>136</v>
      </c>
    </row>
    <row r="110" spans="2:2" x14ac:dyDescent="0.2">
      <c r="B110" s="19" t="s">
        <v>108</v>
      </c>
    </row>
    <row r="111" spans="2:2" x14ac:dyDescent="0.2">
      <c r="B111" s="1" t="s">
        <v>109</v>
      </c>
    </row>
    <row r="112" spans="2:2" x14ac:dyDescent="0.2">
      <c r="B112" s="1" t="s">
        <v>110</v>
      </c>
    </row>
    <row r="113" spans="2:2" x14ac:dyDescent="0.2">
      <c r="B113" s="1" t="s">
        <v>111</v>
      </c>
    </row>
    <row r="115" spans="2:2" x14ac:dyDescent="0.2">
      <c r="B115" s="19" t="s">
        <v>112</v>
      </c>
    </row>
    <row r="116" spans="2:2" x14ac:dyDescent="0.2">
      <c r="B116" s="1" t="s">
        <v>113</v>
      </c>
    </row>
    <row r="117" spans="2:2" x14ac:dyDescent="0.2">
      <c r="B117" s="1" t="s">
        <v>115</v>
      </c>
    </row>
    <row r="118" spans="2:2" x14ac:dyDescent="0.2">
      <c r="B118" s="1" t="s">
        <v>116</v>
      </c>
    </row>
    <row r="120" spans="2:2" x14ac:dyDescent="0.2">
      <c r="B120" s="19" t="s">
        <v>114</v>
      </c>
    </row>
    <row r="121" spans="2:2" x14ac:dyDescent="0.2">
      <c r="B121" s="1" t="s">
        <v>117</v>
      </c>
    </row>
    <row r="124" spans="2:2" x14ac:dyDescent="0.2">
      <c r="B124" s="20" t="s">
        <v>124</v>
      </c>
    </row>
    <row r="125" spans="2:2" x14ac:dyDescent="0.2">
      <c r="B125" s="20" t="s">
        <v>125</v>
      </c>
    </row>
    <row r="126" spans="2:2" x14ac:dyDescent="0.2">
      <c r="B126" s="20" t="s">
        <v>126</v>
      </c>
    </row>
    <row r="127" spans="2:2" x14ac:dyDescent="0.2">
      <c r="B127" s="23" t="s">
        <v>127</v>
      </c>
    </row>
    <row r="130" spans="2:2" x14ac:dyDescent="0.2">
      <c r="B130" s="19" t="s">
        <v>149</v>
      </c>
    </row>
    <row r="131" spans="2:2" x14ac:dyDescent="0.2">
      <c r="B131" s="1" t="s">
        <v>150</v>
      </c>
    </row>
    <row r="133" spans="2:2" x14ac:dyDescent="0.2">
      <c r="B133" s="1" t="s">
        <v>151</v>
      </c>
    </row>
    <row r="134" spans="2:2" x14ac:dyDescent="0.2">
      <c r="B134" s="1" t="s">
        <v>152</v>
      </c>
    </row>
    <row r="135" spans="2:2" x14ac:dyDescent="0.2">
      <c r="B135" s="1" t="s">
        <v>153</v>
      </c>
    </row>
    <row r="136" spans="2:2" x14ac:dyDescent="0.2">
      <c r="B136" s="1" t="s">
        <v>154</v>
      </c>
    </row>
    <row r="137" spans="2:2" x14ac:dyDescent="0.2">
      <c r="B137" s="1" t="s">
        <v>155</v>
      </c>
    </row>
    <row r="138" spans="2:2" x14ac:dyDescent="0.2">
      <c r="B138" s="1" t="s">
        <v>156</v>
      </c>
    </row>
    <row r="139" spans="2:2" x14ac:dyDescent="0.2">
      <c r="B139" s="1" t="s">
        <v>157</v>
      </c>
    </row>
    <row r="140" spans="2:2" x14ac:dyDescent="0.2">
      <c r="B140" s="1" t="s">
        <v>158</v>
      </c>
    </row>
    <row r="141" spans="2:2" x14ac:dyDescent="0.2">
      <c r="B141" s="1" t="s">
        <v>159</v>
      </c>
    </row>
    <row r="146" spans="2:2" x14ac:dyDescent="0.2">
      <c r="B146" s="1" t="s">
        <v>160</v>
      </c>
    </row>
    <row r="147" spans="2:2" x14ac:dyDescent="0.2">
      <c r="B147" s="1" t="s">
        <v>212</v>
      </c>
    </row>
    <row r="150" spans="2:2" x14ac:dyDescent="0.2">
      <c r="B150" s="19" t="s">
        <v>148</v>
      </c>
    </row>
    <row r="151" spans="2:2" x14ac:dyDescent="0.2">
      <c r="B151" s="1" t="s">
        <v>244</v>
      </c>
    </row>
    <row r="155" spans="2:2" x14ac:dyDescent="0.2">
      <c r="B155" s="1" t="s">
        <v>246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131E2-3085-1544-9DD4-1843DABD999E}">
  <dimension ref="B3:B4"/>
  <sheetViews>
    <sheetView zoomScale="206" workbookViewId="0">
      <selection activeCell="E10" sqref="E10"/>
    </sheetView>
  </sheetViews>
  <sheetFormatPr baseColWidth="10" defaultRowHeight="16" x14ac:dyDescent="0.2"/>
  <cols>
    <col min="1" max="16384" width="10.83203125" style="1"/>
  </cols>
  <sheetData>
    <row r="3" spans="2:2" x14ac:dyDescent="0.2">
      <c r="B3" s="1" t="s">
        <v>137</v>
      </c>
    </row>
    <row r="4" spans="2:2" x14ac:dyDescent="0.2">
      <c r="B4" s="1" t="s">
        <v>138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CD572-60BF-E14B-A4E7-D38B40606FCA}">
  <dimension ref="B4:F43"/>
  <sheetViews>
    <sheetView topLeftCell="A12" zoomScale="125" workbookViewId="0">
      <selection activeCell="F27" sqref="F27"/>
    </sheetView>
  </sheetViews>
  <sheetFormatPr baseColWidth="10" defaultRowHeight="16" outlineLevelRow="1" x14ac:dyDescent="0.2"/>
  <cols>
    <col min="2" max="2" width="36.83203125" bestFit="1" customWidth="1"/>
  </cols>
  <sheetData>
    <row r="4" spans="2:6" x14ac:dyDescent="0.2">
      <c r="C4" s="2">
        <v>44895</v>
      </c>
      <c r="D4" s="2">
        <v>45260</v>
      </c>
      <c r="E4" s="2">
        <v>45626</v>
      </c>
      <c r="F4" s="2">
        <v>45991</v>
      </c>
    </row>
    <row r="5" spans="2:6" x14ac:dyDescent="0.2">
      <c r="C5" s="1"/>
      <c r="D5" s="4" t="s">
        <v>12</v>
      </c>
      <c r="E5" s="4" t="s">
        <v>13</v>
      </c>
      <c r="F5" s="2" t="s">
        <v>14</v>
      </c>
    </row>
    <row r="6" spans="2:6" x14ac:dyDescent="0.2">
      <c r="C6" s="1"/>
      <c r="D6" s="3">
        <v>365</v>
      </c>
      <c r="E6" s="3">
        <v>366</v>
      </c>
      <c r="F6" s="3">
        <v>365</v>
      </c>
    </row>
    <row r="7" spans="2:6" x14ac:dyDescent="0.2">
      <c r="C7" s="1"/>
      <c r="D7" s="1"/>
      <c r="E7" s="1"/>
      <c r="F7" s="1"/>
    </row>
    <row r="8" spans="2:6" x14ac:dyDescent="0.2">
      <c r="C8" s="6"/>
      <c r="D8" s="6"/>
      <c r="E8" s="6"/>
      <c r="F8" s="6"/>
    </row>
    <row r="9" spans="2:6" x14ac:dyDescent="0.2">
      <c r="C9" s="1"/>
      <c r="D9" s="1"/>
      <c r="E9" s="1"/>
      <c r="F9" s="1"/>
    </row>
    <row r="10" spans="2:6" x14ac:dyDescent="0.2">
      <c r="C10" s="1"/>
      <c r="D10" s="1"/>
      <c r="E10" s="7"/>
      <c r="F10" s="7"/>
    </row>
    <row r="11" spans="2:6" x14ac:dyDescent="0.2">
      <c r="B11" s="60" t="s">
        <v>25</v>
      </c>
      <c r="C11" s="1"/>
      <c r="D11" s="65">
        <f>+D12+D13</f>
        <v>3613.6950000000002</v>
      </c>
      <c r="E11" s="65">
        <f t="shared" ref="E11:F11" si="0">+E12+E13</f>
        <v>4145.0120000000006</v>
      </c>
      <c r="F11" s="65">
        <f t="shared" si="0"/>
        <v>4938.8419999999996</v>
      </c>
    </row>
    <row r="12" spans="2:6" x14ac:dyDescent="0.2">
      <c r="B12" s="12" t="s">
        <v>27</v>
      </c>
      <c r="C12" s="1"/>
      <c r="D12" s="30">
        <v>3522.8160000000003</v>
      </c>
      <c r="E12" s="30">
        <v>4055.3940000000002</v>
      </c>
      <c r="F12" s="30">
        <v>4830.6689999999999</v>
      </c>
    </row>
    <row r="13" spans="2:6" x14ac:dyDescent="0.2">
      <c r="B13" s="12" t="s">
        <v>33</v>
      </c>
      <c r="C13" s="1"/>
      <c r="D13" s="30">
        <v>90.879000000000005</v>
      </c>
      <c r="E13" s="30">
        <v>89.617999999999995</v>
      </c>
      <c r="F13" s="30">
        <v>108.173</v>
      </c>
    </row>
    <row r="14" spans="2:6" x14ac:dyDescent="0.2">
      <c r="B14" s="60" t="s">
        <v>26</v>
      </c>
      <c r="C14" s="1"/>
      <c r="D14" s="65">
        <f>+D16+D17</f>
        <v>317.029</v>
      </c>
      <c r="E14" s="65">
        <f t="shared" ref="E14:F14" si="1">+E16+E17</f>
        <v>420.34800000000007</v>
      </c>
      <c r="F14" s="65">
        <f t="shared" si="1"/>
        <v>540.27799999999991</v>
      </c>
    </row>
    <row r="15" spans="2:6" hidden="1" outlineLevel="1" x14ac:dyDescent="0.2">
      <c r="B15" s="58" t="s">
        <v>140</v>
      </c>
      <c r="C15" s="1"/>
      <c r="D15" s="65"/>
      <c r="E15" s="24">
        <f>E14/D14-1</f>
        <v>0.32589763081610856</v>
      </c>
      <c r="F15" s="24">
        <f t="shared" ref="F15" si="2">F14/E14-1</f>
        <v>0.28531121832386463</v>
      </c>
    </row>
    <row r="16" spans="2:6" collapsed="1" x14ac:dyDescent="0.2">
      <c r="B16" s="12" t="s">
        <v>27</v>
      </c>
      <c r="C16" s="1"/>
      <c r="D16" s="30">
        <v>12.989000000000001</v>
      </c>
      <c r="E16" s="30">
        <v>12.783000000000001</v>
      </c>
      <c r="F16" s="30">
        <v>13.079000000000001</v>
      </c>
    </row>
    <row r="17" spans="2:6" x14ac:dyDescent="0.2">
      <c r="B17" s="12" t="s">
        <v>34</v>
      </c>
      <c r="C17" s="1"/>
      <c r="D17" s="30">
        <v>304.04000000000002</v>
      </c>
      <c r="E17" s="30">
        <v>407.56500000000005</v>
      </c>
      <c r="F17" s="30">
        <v>527.19899999999996</v>
      </c>
    </row>
    <row r="18" spans="2:6" x14ac:dyDescent="0.2">
      <c r="B18" s="15" t="s">
        <v>35</v>
      </c>
      <c r="C18" s="15"/>
      <c r="D18" s="33">
        <f>D14+D11</f>
        <v>3930.7240000000002</v>
      </c>
      <c r="E18" s="33">
        <f t="shared" ref="E18:F18" si="3">E14+E11</f>
        <v>4565.3600000000006</v>
      </c>
      <c r="F18" s="33">
        <f t="shared" si="3"/>
        <v>5479.12</v>
      </c>
    </row>
    <row r="19" spans="2:6" x14ac:dyDescent="0.2">
      <c r="C19" s="1"/>
      <c r="D19" s="30">
        <v>0</v>
      </c>
      <c r="E19" s="32">
        <f>E18/D18-1</f>
        <v>0.16145524335974759</v>
      </c>
      <c r="F19" s="32">
        <f t="shared" ref="F19" si="4">F18/E18-1</f>
        <v>0.2001507000543219</v>
      </c>
    </row>
    <row r="23" spans="2:6" x14ac:dyDescent="0.2">
      <c r="B23" t="s">
        <v>241</v>
      </c>
      <c r="D23">
        <v>68.2</v>
      </c>
      <c r="E23">
        <v>893.7</v>
      </c>
      <c r="F23">
        <v>792.2</v>
      </c>
    </row>
    <row r="24" spans="2:6" x14ac:dyDescent="0.2">
      <c r="B24" t="s">
        <v>242</v>
      </c>
      <c r="D24" s="90">
        <v>3.6396442185514615</v>
      </c>
      <c r="E24" s="90">
        <v>48.074761225161929</v>
      </c>
      <c r="F24" s="90">
        <v>45.724558151032014</v>
      </c>
    </row>
    <row r="25" spans="2:6" x14ac:dyDescent="0.2">
      <c r="D25" s="90"/>
      <c r="E25" s="90"/>
      <c r="F25" s="90"/>
    </row>
    <row r="26" spans="2:6" x14ac:dyDescent="0.2">
      <c r="B26" t="s">
        <v>243</v>
      </c>
      <c r="D26" s="91"/>
      <c r="E26" s="91"/>
      <c r="F26" s="91">
        <f>F24/C43</f>
        <v>2.1062472477926159E-2</v>
      </c>
    </row>
    <row r="29" spans="2:6" x14ac:dyDescent="0.2">
      <c r="B29" s="18" t="s">
        <v>232</v>
      </c>
    </row>
    <row r="31" spans="2:6" x14ac:dyDescent="0.2">
      <c r="B31" t="s">
        <v>231</v>
      </c>
      <c r="C31" s="87">
        <v>68</v>
      </c>
    </row>
    <row r="32" spans="2:6" x14ac:dyDescent="0.2">
      <c r="C32" s="87"/>
    </row>
    <row r="33" spans="2:3" x14ac:dyDescent="0.2">
      <c r="B33" t="s">
        <v>236</v>
      </c>
      <c r="C33">
        <v>30.8933</v>
      </c>
    </row>
    <row r="34" spans="2:3" x14ac:dyDescent="0.2">
      <c r="B34" t="s">
        <v>233</v>
      </c>
      <c r="C34" s="88">
        <v>0</v>
      </c>
    </row>
    <row r="35" spans="2:3" x14ac:dyDescent="0.2">
      <c r="B35" t="s">
        <v>234</v>
      </c>
      <c r="C35" s="88">
        <v>0</v>
      </c>
    </row>
    <row r="36" spans="2:3" x14ac:dyDescent="0.2">
      <c r="B36" t="s">
        <v>235</v>
      </c>
      <c r="C36" s="88">
        <v>0</v>
      </c>
    </row>
    <row r="37" spans="2:3" x14ac:dyDescent="0.2">
      <c r="B37" s="80" t="s">
        <v>232</v>
      </c>
      <c r="C37" s="80">
        <f>SUM(C33:C36)</f>
        <v>30.8933</v>
      </c>
    </row>
    <row r="40" spans="2:3" x14ac:dyDescent="0.2">
      <c r="B40" t="s">
        <v>237</v>
      </c>
      <c r="C40" s="87">
        <f>C37*C31</f>
        <v>2100.7444</v>
      </c>
    </row>
    <row r="41" spans="2:3" x14ac:dyDescent="0.2">
      <c r="B41" t="s">
        <v>238</v>
      </c>
      <c r="C41" s="87">
        <f>755*0.062</f>
        <v>46.81</v>
      </c>
    </row>
    <row r="42" spans="2:3" x14ac:dyDescent="0.2">
      <c r="B42" t="s">
        <v>239</v>
      </c>
      <c r="C42" s="87">
        <f>1886.57*0.062</f>
        <v>116.96733999999999</v>
      </c>
    </row>
    <row r="43" spans="2:3" x14ac:dyDescent="0.2">
      <c r="B43" s="80" t="s">
        <v>240</v>
      </c>
      <c r="C43" s="89">
        <f>C40-C41+C42</f>
        <v>2170.9017400000002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model</vt:lpstr>
      <vt:lpstr>Sheet3</vt:lpstr>
      <vt:lpstr>DaaS</vt:lpstr>
      <vt:lpstr>research</vt:lpstr>
      <vt:lpstr>comps</vt:lpstr>
      <vt:lpstr>Reverse DCF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Sankalp Bhatia</dc:creator>
  <cp:lastModifiedBy>Sankalp Bhatia</cp:lastModifiedBy>
  <dcterms:created xsi:type="dcterms:W3CDTF">2026-08-15T17:54:30Z</dcterms:created>
  <dcterms:modified xsi:type="dcterms:W3CDTF">2026-09-13T11:02:28Z</dcterms:modified>
</cp:coreProperties>
</file>